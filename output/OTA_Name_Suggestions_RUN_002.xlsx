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RUN_002</t>
        </is>
      </c>
      <c r="B2" s="2" t="inlineStr">
        <is>
          <t>2026-09-21 12:56:31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>
        <f>HYPERLINK("None", "Open Agoda Listing")</f>
        <v/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3-Bedroom Princess Villa in Lonavala</t>
        </is>
      </c>
      <c r="N2" s="2" t="n">
        <v>36</v>
      </c>
      <c r="O2" s="2" t="n">
        <v>50</v>
      </c>
      <c r="P2" s="2" t="inlineStr">
        <is>
          <t>Fixed Truncation (70 -&gt; 36 chars)</t>
        </is>
      </c>
      <c r="Q2" s="3" t="inlineStr">
        <is>
          <t>Fixed overflow: old was 70/50 chars (truncated in search cards)</t>
        </is>
      </c>
      <c r="R2" s="7" t="inlineStr">
        <is>
          <t>Pending Backend Sync</t>
        </is>
      </c>
      <c r="S2" s="3" t="inlineStr"/>
    </row>
    <row r="3">
      <c r="A3" s="2" t="inlineStr">
        <is>
          <t>RUN_002</t>
        </is>
      </c>
      <c r="B3" s="2" t="inlineStr">
        <is>
          <t>2026-09-21 12:56:31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>
        <f>HYPERLINK("None", "Open Airbnb Listing")</f>
        <v/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Removed redundant brand on Airbnb (prioritizes top USP)</t>
        </is>
      </c>
      <c r="R3" s="7" t="inlineStr">
        <is>
          <t>Pending Backend Sync</t>
        </is>
      </c>
      <c r="S3" s="3" t="inlineStr"/>
    </row>
    <row r="4">
      <c r="A4" s="2" t="inlineStr">
        <is>
          <t>RUN_002</t>
        </is>
      </c>
      <c r="B4" s="2" t="inlineStr">
        <is>
          <t>2026-09-21 12:56:31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>
        <f>HYPERLINK("None", "Open Booking.com Listing")</f>
        <v/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Villa - 3BHK with Infinity Pool</t>
        </is>
      </c>
      <c r="N4" s="2" t="n">
        <v>40</v>
      </c>
      <c r="O4" s="2" t="n">
        <v>50</v>
      </c>
      <c r="P4" s="2" t="inlineStr">
        <is>
          <t>Fixed Truncation (70 -&gt; 40 chars)</t>
        </is>
      </c>
      <c r="Q4" s="3" t="inlineStr">
        <is>
          <t>Fixed overflow: old was 70/50 chars (truncated in search cards)</t>
        </is>
      </c>
      <c r="R4" s="7" t="inlineStr">
        <is>
          <t>Pending Backend Sync</t>
        </is>
      </c>
      <c r="S4" s="3" t="inlineStr"/>
    </row>
    <row r="5">
      <c r="A5" s="2" t="inlineStr">
        <is>
          <t>RUN_002</t>
        </is>
      </c>
      <c r="B5" s="2" t="inlineStr">
        <is>
          <t>2026-09-21 12:56:31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>
        <f>HYPERLINK("None", "Open MakeMyTrip Listing")</f>
        <v/>
      </c>
      <c r="K5" s="5" t="inlineStr">
        <is>
          <t>StayVista | Villa Princess</t>
        </is>
      </c>
      <c r="L5" s="2" t="n">
        <v>26</v>
      </c>
      <c r="M5" s="6" t="inlineStr">
        <is>
          <t>3BHK Princess Villa • Infinity Pool • Lonavala</t>
        </is>
      </c>
      <c r="N5" s="2" t="n">
        <v>46</v>
      </c>
      <c r="O5" s="2" t="n">
        <v>50</v>
      </c>
      <c r="P5" s="2" t="inlineStr">
        <is>
          <t>Within Limit (46/50 chars)</t>
        </is>
      </c>
      <c r="Q5" s="3" t="inlineStr">
        <is>
          <t>Removed non-compliant symbols ('|', '@', '+');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RUN_002</t>
        </is>
      </c>
      <c r="B6" s="2" t="inlineStr">
        <is>
          <t>2026-09-21 12:56:31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>
        <f>HYPERLINK("None", "Open Agoda Listing")</f>
        <v/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3-Bedroom Santoni Farms Villa, Karjat w/ Pool</t>
        </is>
      </c>
      <c r="N6" s="2" t="n">
        <v>45</v>
      </c>
      <c r="O6" s="2" t="n">
        <v>50</v>
      </c>
      <c r="P6" s="2" t="inlineStr">
        <is>
          <t>Fixed Truncation (75 -&gt; 45 chars)</t>
        </is>
      </c>
      <c r="Q6" s="3" t="inlineStr">
        <is>
          <t>Fixed overflow: old was 75/50 chars (truncated in search cards)</t>
        </is>
      </c>
      <c r="R6" s="7" t="inlineStr">
        <is>
          <t>Pending Backend Sync</t>
        </is>
      </c>
      <c r="S6" s="3" t="inlineStr"/>
    </row>
    <row r="7">
      <c r="A7" s="2" t="inlineStr">
        <is>
          <t>RUN_002</t>
        </is>
      </c>
      <c r="B7" s="2" t="inlineStr">
        <is>
          <t>2026-09-21 12:56:31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>
        <f>HYPERLINK("None", "Open Airbnb Listing")</f>
        <v/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Removed redundant brand on Airbnb (prioritizes top USP)</t>
        </is>
      </c>
      <c r="R7" s="7" t="inlineStr">
        <is>
          <t>Pending Backend Sync</t>
        </is>
      </c>
      <c r="S7" s="3" t="inlineStr"/>
    </row>
    <row r="8">
      <c r="A8" s="2" t="inlineStr">
        <is>
          <t>RUN_002</t>
        </is>
      </c>
      <c r="B8" s="2" t="inlineStr">
        <is>
          <t>2026-09-21 12:56:31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>
        <f>HYPERLINK("None", "Open Booking.com Listing")</f>
        <v/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Villa by StayVista - 3BHK w/ Pool</t>
        </is>
      </c>
      <c r="N8" s="2" t="n">
        <v>47</v>
      </c>
      <c r="O8" s="2" t="n">
        <v>50</v>
      </c>
      <c r="P8" s="2" t="inlineStr">
        <is>
          <t>Fixed Truncation (75 -&gt; 47 chars)</t>
        </is>
      </c>
      <c r="Q8" s="3" t="inlineStr">
        <is>
          <t>Fixed overflow: old was 75/50 chars (truncated in search cards)</t>
        </is>
      </c>
      <c r="R8" s="7" t="inlineStr">
        <is>
          <t>Pending Backend Sync</t>
        </is>
      </c>
      <c r="S8" s="3" t="inlineStr"/>
    </row>
    <row r="9">
      <c r="A9" s="2" t="inlineStr">
        <is>
          <t>RUN_002</t>
        </is>
      </c>
      <c r="B9" s="2" t="inlineStr">
        <is>
          <t>2026-09-21 12:56:31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>
        <f>HYPERLINK("None", "Open MakeMyTrip Listing")</f>
        <v/>
      </c>
      <c r="K9" s="5" t="inlineStr">
        <is>
          <t>StayVista | Santoni Farms Pool Villa</t>
        </is>
      </c>
      <c r="L9" s="2" t="n">
        <v>36</v>
      </c>
      <c r="M9" s="6" t="inlineStr">
        <is>
          <t>3BHK Santoni Farms Villa • Pool • Karjat</t>
        </is>
      </c>
      <c r="N9" s="2" t="n">
        <v>40</v>
      </c>
      <c r="O9" s="2" t="n">
        <v>50</v>
      </c>
      <c r="P9" s="2" t="inlineStr">
        <is>
          <t>Within Limit (40/50 chars)</t>
        </is>
      </c>
      <c r="Q9" s="3" t="inlineStr">
        <is>
          <t>Removed non-compliant symbols ('|', '@', '+');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RUN_002</t>
        </is>
      </c>
      <c r="B10" s="2" t="inlineStr">
        <is>
          <t>2026-09-21 12:56:31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>
        <f>HYPERLINK("None", "Open Agoda Listing")</f>
        <v/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3-Bedroom Serene Villa, Karjat w/ Plunge Pool</t>
        </is>
      </c>
      <c r="N10" s="2" t="n">
        <v>45</v>
      </c>
      <c r="O10" s="2" t="n">
        <v>50</v>
      </c>
      <c r="P10" s="2" t="inlineStr">
        <is>
          <t>Fixed Truncation (62 -&gt; 45 chars)</t>
        </is>
      </c>
      <c r="Q10" s="3" t="inlineStr">
        <is>
          <t>Fixed overflow: old was 62/50 chars (truncated in search cards)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RUN_002</t>
        </is>
      </c>
      <c r="B11" s="2" t="inlineStr">
        <is>
          <t>2026-09-21 12:56:31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>
        <f>HYPERLINK("None", "Open Airbnb Listing")</f>
        <v/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Removed redundant brand on Airbnb (prioritizes top USP)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RUN_002</t>
        </is>
      </c>
      <c r="B12" s="2" t="inlineStr">
        <is>
          <t>2026-09-21 12:56:31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>
        <f>HYPERLINK("None", "Open Booking.com Listing")</f>
        <v/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Villa by StayVista - 3BHK w/ Plunge Pool</t>
        </is>
      </c>
      <c r="N12" s="2" t="n">
        <v>47</v>
      </c>
      <c r="O12" s="2" t="n">
        <v>50</v>
      </c>
      <c r="P12" s="2" t="inlineStr">
        <is>
          <t>Fixed Truncation (62 -&gt; 47 chars)</t>
        </is>
      </c>
      <c r="Q12" s="3" t="inlineStr">
        <is>
          <t>Fixed overflow: old was 62/50 chars (truncated in search cards)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RUN_002</t>
        </is>
      </c>
      <c r="B13" s="2" t="inlineStr">
        <is>
          <t>2026-09-21 12:56:31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>
        <f>HYPERLINK("None", "Open MakeMyTrip Listing")</f>
        <v/>
      </c>
      <c r="K13" s="5" t="inlineStr">
        <is>
          <t>StayVista | Vista Serene 3 BHK Villa</t>
        </is>
      </c>
      <c r="L13" s="2" t="n">
        <v>36</v>
      </c>
      <c r="M13" s="6" t="inlineStr">
        <is>
          <t>3BHK Serene Villa • Plunge Pool • Karjat</t>
        </is>
      </c>
      <c r="N13" s="2" t="n">
        <v>40</v>
      </c>
      <c r="O13" s="2" t="n">
        <v>50</v>
      </c>
      <c r="P13" s="2" t="inlineStr">
        <is>
          <t>Within Limit (40/50 chars)</t>
        </is>
      </c>
      <c r="Q13" s="3" t="inlineStr">
        <is>
          <t>Removed non-compliant symbols ('|', '@', '+')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RUN_002</t>
        </is>
      </c>
      <c r="B14" s="2" t="inlineStr">
        <is>
          <t>2026-09-21 12:56:31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>
        <f>HYPERLINK("None", "Open Agoda Listing")</f>
        <v/>
      </c>
      <c r="K14" s="5" t="inlineStr">
        <is>
          <t>StayVista at La Petite Maison</t>
        </is>
      </c>
      <c r="L14" s="2" t="n">
        <v>29</v>
      </c>
      <c r="M14" s="6" t="inlineStr">
        <is>
          <t>3-Bedroom La Petite Maison Villa in Lonavala</t>
        </is>
      </c>
      <c r="N14" s="2" t="n">
        <v>44</v>
      </c>
      <c r="O14" s="2" t="n">
        <v>50</v>
      </c>
      <c r="P14" s="2" t="inlineStr">
        <is>
          <t>Within Limit (44/50 chars)</t>
        </is>
      </c>
      <c r="Q14" s="3" t="inlineStr">
        <is>
          <t>Standardized structure: Size + Name + USP + Location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RUN_002</t>
        </is>
      </c>
      <c r="B15" s="2" t="inlineStr">
        <is>
          <t>2026-09-21 12:56:31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>
        <f>HYPERLINK("None", "Open Airbnb Listing")</f>
        <v/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Removed redundant brand on Airbnb (prioritizes top USP)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RUN_002</t>
        </is>
      </c>
      <c r="B16" s="2" t="inlineStr">
        <is>
          <t>2026-09-21 12:56:31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>
        <f>HYPERLINK("None", "Open Booking.com Listing")</f>
        <v/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La Petite Maison Villa - 3BHK with Mountain View</t>
        </is>
      </c>
      <c r="N16" s="2" t="n">
        <v>48</v>
      </c>
      <c r="O16" s="2" t="n">
        <v>50</v>
      </c>
      <c r="P16" s="2" t="inlineStr">
        <is>
          <t>Fixed Truncation (71 -&gt; 48 chars)</t>
        </is>
      </c>
      <c r="Q16" s="3" t="inlineStr">
        <is>
          <t>Fixed overflow: old was 71/50 chars (truncated in search cards)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RUN_002</t>
        </is>
      </c>
      <c r="B17" s="2" t="inlineStr">
        <is>
          <t>2026-09-21 12:56:31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>
        <f>HYPERLINK("None", "Open MakeMyTrip Listing")</f>
        <v/>
      </c>
      <c r="K17" s="5" t="inlineStr">
        <is>
          <t>StayVista | La Petite Maison 3 BHK Villa</t>
        </is>
      </c>
      <c r="L17" s="2" t="n">
        <v>40</v>
      </c>
      <c r="M17" s="6" t="inlineStr">
        <is>
          <t>3BHK La Petite Maison • Mountain View • Lonavala</t>
        </is>
      </c>
      <c r="N17" s="2" t="n">
        <v>48</v>
      </c>
      <c r="O17" s="2" t="n">
        <v>50</v>
      </c>
      <c r="P17" s="2" t="inlineStr">
        <is>
          <t>Within Limit (48/50 chars)</t>
        </is>
      </c>
      <c r="Q17" s="3" t="inlineStr">
        <is>
          <t>Removed non-compliant symbols ('|', '@', '+')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RUN_002</t>
        </is>
      </c>
      <c r="B18" s="2" t="inlineStr">
        <is>
          <t>2026-09-21 12:56:31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>
        <f>HYPERLINK("None", "Open Agoda Listing")</f>
        <v/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2-Bedroom Stone  Bezze House in Nashik</t>
        </is>
      </c>
      <c r="N18" s="2" t="n">
        <v>38</v>
      </c>
      <c r="O18" s="2" t="n">
        <v>50</v>
      </c>
      <c r="P18" s="2" t="inlineStr">
        <is>
          <t>Fixed Truncation (75 -&gt; 38 chars)</t>
        </is>
      </c>
      <c r="Q18" s="3" t="inlineStr">
        <is>
          <t>Fixed overflow: old was 75/50 chars (truncated in search cards)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RUN_002</t>
        </is>
      </c>
      <c r="B19" s="2" t="inlineStr">
        <is>
          <t>2026-09-21 12:56:31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>
        <f>HYPERLINK("None", "Open Airbnb Listing")</f>
        <v/>
      </c>
      <c r="K19" s="5" t="inlineStr">
        <is>
          <t>2BR StayVista Stone House Bezze@Nashik</t>
        </is>
      </c>
      <c r="L19" s="2" t="n">
        <v>38</v>
      </c>
      <c r="M19" s="6" t="inlineStr">
        <is>
          <t>2BHK Stone  Bezze House w/ Mountain View</t>
        </is>
      </c>
      <c r="N19" s="2" t="n">
        <v>40</v>
      </c>
      <c r="O19" s="2" t="n">
        <v>44</v>
      </c>
      <c r="P19" s="2" t="inlineStr">
        <is>
          <t>Within Limit (40/44 chars)</t>
        </is>
      </c>
      <c r="Q19" s="3" t="inlineStr">
        <is>
          <t>Removed non-compliant symbols ('|', '@', '+'); Removed redundant brand on Airbnb (prioritizes top USP)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RUN_002</t>
        </is>
      </c>
      <c r="B20" s="2" t="inlineStr">
        <is>
          <t>2026-09-21 12:56:31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>
        <f>HYPERLINK("None", "Open Booking.com Listing")</f>
        <v/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House - 2BHK with Mountain View</t>
        </is>
      </c>
      <c r="N20" s="2" t="n">
        <v>44</v>
      </c>
      <c r="O20" s="2" t="n">
        <v>50</v>
      </c>
      <c r="P20" s="2" t="inlineStr">
        <is>
          <t>Fixed Truncation (77 -&gt; 44 chars)</t>
        </is>
      </c>
      <c r="Q20" s="3" t="inlineStr">
        <is>
          <t>Fixed overflow: old was 77/50 chars (truncated in search cards)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RUN_002</t>
        </is>
      </c>
      <c r="B21" s="2" t="inlineStr">
        <is>
          <t>2026-09-21 12:56:31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>
        <f>HYPERLINK("None", "Open MakeMyTrip Listing")</f>
        <v/>
      </c>
      <c r="K21" s="5" t="inlineStr">
        <is>
          <t>StayVista | The Stone House In Beze</t>
        </is>
      </c>
      <c r="L21" s="2" t="n">
        <v>35</v>
      </c>
      <c r="M21" s="6" t="inlineStr">
        <is>
          <t>2BHK Stone  Bezze House • Mountain View • Nashik</t>
        </is>
      </c>
      <c r="N21" s="2" t="n">
        <v>48</v>
      </c>
      <c r="O21" s="2" t="n">
        <v>50</v>
      </c>
      <c r="P21" s="2" t="inlineStr">
        <is>
          <t>Within Limit (48/50 chars)</t>
        </is>
      </c>
      <c r="Q21" s="3" t="inlineStr">
        <is>
          <t>Removed non-compliant symbols ('|', '@', '+');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RUN_002</t>
        </is>
      </c>
      <c r="B22" s="2" t="inlineStr">
        <is>
          <t>2026-09-21 12:56:31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>
        <f>HYPERLINK("None", "Open Agoda Listing")</f>
        <v/>
      </c>
      <c r="K22" s="5" t="inlineStr">
        <is>
          <t>StayVista at Moksh Villa - BBQ &amp; Jacuzzi</t>
        </is>
      </c>
      <c r="L22" s="2" t="n">
        <v>40</v>
      </c>
      <c r="M22" s="6" t="inlineStr">
        <is>
          <t>4-Bedroom Moksh Villa, India w/ Jacuzzi</t>
        </is>
      </c>
      <c r="N22" s="2" t="n">
        <v>39</v>
      </c>
      <c r="O22" s="2" t="n">
        <v>50</v>
      </c>
      <c r="P22" s="2" t="inlineStr">
        <is>
          <t>Within Limit (39/50 chars)</t>
        </is>
      </c>
      <c r="Q22" s="3" t="inlineStr">
        <is>
          <t>Standardized structure: Size + Name + USP + Location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RUN_002</t>
        </is>
      </c>
      <c r="B23" s="2" t="inlineStr">
        <is>
          <t>2026-09-21 12:56:31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>
        <f>HYPERLINK("None", "Open Airbnb Listing")</f>
        <v/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Removed redundant brand on Airbnb (prioritizes top USP)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RUN_002</t>
        </is>
      </c>
      <c r="B24" s="2" t="inlineStr">
        <is>
          <t>2026-09-21 12:56:31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>
        <f>HYPERLINK("None", "Open Booking.com Listing")</f>
        <v/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Villa by StayVista - 4BHK w/ Jacuzzi</t>
        </is>
      </c>
      <c r="N24" s="2" t="n">
        <v>42</v>
      </c>
      <c r="O24" s="2" t="n">
        <v>50</v>
      </c>
      <c r="P24" s="2" t="inlineStr">
        <is>
          <t>Fixed Truncation (55 -&gt; 42 chars)</t>
        </is>
      </c>
      <c r="Q24" s="3" t="inlineStr">
        <is>
          <t>Fixed overflow: old was 55/50 chars (truncated in search cards)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RUN_002</t>
        </is>
      </c>
      <c r="B25" s="2" t="inlineStr">
        <is>
          <t>2026-09-21 12:56:31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>
        <f>HYPERLINK("None", "Open MakeMyTrip Listing")</f>
        <v/>
      </c>
      <c r="K25" s="5" t="inlineStr">
        <is>
          <t>StayVista | Moksh 4 BHK Villa</t>
        </is>
      </c>
      <c r="L25" s="2" t="n">
        <v>29</v>
      </c>
      <c r="M25" s="6" t="inlineStr">
        <is>
          <t>4BHK Moksh Villa • Jacuzzi • India</t>
        </is>
      </c>
      <c r="N25" s="2" t="n">
        <v>34</v>
      </c>
      <c r="O25" s="2" t="n">
        <v>50</v>
      </c>
      <c r="P25" s="2" t="inlineStr">
        <is>
          <t>Within Limit (34/50 chars)</t>
        </is>
      </c>
      <c r="Q25" s="3" t="inlineStr">
        <is>
          <t>Removed non-compliant symbols ('|', '@', '+')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RUN_002</t>
        </is>
      </c>
      <c r="B26" s="2" t="inlineStr">
        <is>
          <t>2026-09-21 12:56:31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>
        <f>HYPERLINK("None", "Open Agoda Listing")</f>
        <v/>
      </c>
      <c r="K26" s="5" t="inlineStr">
        <is>
          <t>El House by StayVista - Unwind in a Villa w/ Pool</t>
        </is>
      </c>
      <c r="L26" s="2" t="n">
        <v>49</v>
      </c>
      <c r="M26" s="6" t="inlineStr">
        <is>
          <t>4-Bedroom EL Villa, Lonavala w/ Pool</t>
        </is>
      </c>
      <c r="N26" s="2" t="n">
        <v>36</v>
      </c>
      <c r="O26" s="2" t="n">
        <v>50</v>
      </c>
      <c r="P26" s="2" t="inlineStr">
        <is>
          <t>Within Limit (36/50 chars)</t>
        </is>
      </c>
      <c r="Q26" s="3" t="inlineStr">
        <is>
          <t>Standardized structure: Size + Name + USP + Location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RUN_002</t>
        </is>
      </c>
      <c r="B27" s="2" t="inlineStr">
        <is>
          <t>2026-09-21 12:56:31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>
        <f>HYPERLINK("None", "Open Airbnb Listing")</f>
        <v/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RUN_002</t>
        </is>
      </c>
      <c r="B28" s="2" t="inlineStr">
        <is>
          <t>2026-09-21 12:56:31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>
        <f>HYPERLINK("None", "Open Booking.com Listing")</f>
        <v/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Villa by StayVista - 4BHK w/ Pool</t>
        </is>
      </c>
      <c r="N28" s="2" t="n">
        <v>36</v>
      </c>
      <c r="O28" s="2" t="n">
        <v>50</v>
      </c>
      <c r="P28" s="2" t="inlineStr">
        <is>
          <t>Fixed Truncation (65 -&gt; 36 chars)</t>
        </is>
      </c>
      <c r="Q28" s="3" t="inlineStr">
        <is>
          <t>Fixed overflow: old was 65/50 chars (truncated in search cards)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RUN_002</t>
        </is>
      </c>
      <c r="B29" s="2" t="inlineStr">
        <is>
          <t>2026-09-21 12:56:31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>
        <f>HYPERLINK("None", "Open MakeMyTrip Listing")</f>
        <v/>
      </c>
      <c r="K29" s="5" t="inlineStr">
        <is>
          <t>StayVista | EL House 4 BHK Villa</t>
        </is>
      </c>
      <c r="L29" s="2" t="n">
        <v>32</v>
      </c>
      <c r="M29" s="6" t="inlineStr">
        <is>
          <t>4BHK EL Villa • Pool • Lonavala</t>
        </is>
      </c>
      <c r="N29" s="2" t="n">
        <v>31</v>
      </c>
      <c r="O29" s="2" t="n">
        <v>50</v>
      </c>
      <c r="P29" s="2" t="inlineStr">
        <is>
          <t>Within Limit (31/50 chars)</t>
        </is>
      </c>
      <c r="Q29" s="3" t="inlineStr">
        <is>
          <t>Removed non-compliant symbols ('|', '@', '+')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RUN_002</t>
        </is>
      </c>
      <c r="B30" s="2" t="inlineStr">
        <is>
          <t>2026-09-21 12:56:31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>
        <f>HYPERLINK("None", "Open Agoda Listing")</f>
        <v/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2-Bedroom Villa in Lonavala w/ Orchard</t>
        </is>
      </c>
      <c r="N30" s="2" t="n">
        <v>38</v>
      </c>
      <c r="O30" s="2" t="n">
        <v>50</v>
      </c>
      <c r="P30" s="2" t="inlineStr">
        <is>
          <t>Fixed Truncation (58 -&gt; 38 chars)</t>
        </is>
      </c>
      <c r="Q30" s="3" t="inlineStr">
        <is>
          <t>Fixed overflow: old was 58/50 chars (truncated in search cards)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RUN_002</t>
        </is>
      </c>
      <c r="B31" s="2" t="inlineStr">
        <is>
          <t>2026-09-21 12:56:31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>
        <f>HYPERLINK("None", "Open Airbnb Listing")</f>
        <v/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RUN_002</t>
        </is>
      </c>
      <c r="B32" s="2" t="inlineStr">
        <is>
          <t>2026-09-21 12:56:31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>
        <f>HYPERLINK("None", "Open Booking.com Listing")</f>
        <v/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Retreat on Cloud 9 Homestay by StayVista - 2BHK Or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RUN_002</t>
        </is>
      </c>
      <c r="B33" s="2" t="inlineStr">
        <is>
          <t>2026-09-21 12:56:31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>
        <f>HYPERLINK("None", "Open MakeMyTrip Listing")</f>
        <v/>
      </c>
      <c r="K33" s="5" t="inlineStr">
        <is>
          <t>StayVista | 2 BHK Retreat On Cloud 9 Villa</t>
        </is>
      </c>
      <c r="L33" s="2" t="n">
        <v>42</v>
      </c>
      <c r="M33" s="6" t="inlineStr">
        <is>
          <t>2BHK Villa • Orchard • Lonavala</t>
        </is>
      </c>
      <c r="N33" s="2" t="n">
        <v>31</v>
      </c>
      <c r="O33" s="2" t="n">
        <v>50</v>
      </c>
      <c r="P33" s="2" t="inlineStr">
        <is>
          <t>Within Limit (31/50 chars)</t>
        </is>
      </c>
      <c r="Q33" s="3" t="inlineStr">
        <is>
          <t>Removed non-compliant symbols ('|', '@', '+')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RUN_002</t>
        </is>
      </c>
      <c r="B34" s="2" t="inlineStr">
        <is>
          <t>2026-09-21 12:56:31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>
        <f>HYPERLINK("None", "Open Agoda Listing")</f>
        <v/>
      </c>
      <c r="K34" s="5" t="inlineStr">
        <is>
          <t>StayVista at Casa del Verde</t>
        </is>
      </c>
      <c r="L34" s="2" t="n">
        <v>27</v>
      </c>
      <c r="M34" s="6" t="inlineStr">
        <is>
          <t>4-Bedroom Casa del Verde Villa in Alibaug</t>
        </is>
      </c>
      <c r="N34" s="2" t="n">
        <v>41</v>
      </c>
      <c r="O34" s="2" t="n">
        <v>50</v>
      </c>
      <c r="P34" s="2" t="inlineStr">
        <is>
          <t>Within Limit (41/50 chars)</t>
        </is>
      </c>
      <c r="Q34" s="3" t="inlineStr">
        <is>
          <t>Standardized structure: Size + Name + USP + Location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RUN_002</t>
        </is>
      </c>
      <c r="B35" s="2" t="inlineStr">
        <is>
          <t>2026-09-21 12:56:31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>
        <f>HYPERLINK("None", "Open Airbnb Listing")</f>
        <v/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RUN_002</t>
        </is>
      </c>
      <c r="B36" s="2" t="inlineStr">
        <is>
          <t>2026-09-21 12:56:31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>
        <f>HYPERLINK("None", "Open Booking.com Listing")</f>
        <v/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Villa - 4BHK with Private Pool</t>
        </is>
      </c>
      <c r="N36" s="2" t="n">
        <v>45</v>
      </c>
      <c r="O36" s="2" t="n">
        <v>50</v>
      </c>
      <c r="P36" s="2" t="inlineStr">
        <is>
          <t>Fixed Truncation (71 -&gt; 45 chars)</t>
        </is>
      </c>
      <c r="Q36" s="3" t="inlineStr">
        <is>
          <t>Fixed overflow: old was 71/50 chars (truncated in search cards)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RUN_002</t>
        </is>
      </c>
      <c r="B37" s="2" t="inlineStr">
        <is>
          <t>2026-09-21 12:56:31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>
        <f>HYPERLINK("None", "Open MakeMyTrip Listing")</f>
        <v/>
      </c>
      <c r="K37" s="5" t="inlineStr">
        <is>
          <t>StayVista | Casa Del Verde 4 BHK Villa</t>
        </is>
      </c>
      <c r="L37" s="2" t="n">
        <v>38</v>
      </c>
      <c r="M37" s="6" t="inlineStr">
        <is>
          <t>4BHK Casa del Verde Villa • Private Pool • Alibaug</t>
        </is>
      </c>
      <c r="N37" s="2" t="n">
        <v>50</v>
      </c>
      <c r="O37" s="2" t="n">
        <v>50</v>
      </c>
      <c r="P37" s="2" t="inlineStr">
        <is>
          <t>Within Limit (50/50 chars)</t>
        </is>
      </c>
      <c r="Q37" s="3" t="inlineStr">
        <is>
          <t>Removed non-compliant symbols ('|', '@', '+')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RUN_002</t>
        </is>
      </c>
      <c r="B38" s="2" t="inlineStr">
        <is>
          <t>2026-09-21 12:56:31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>
        <f>HYPERLINK("None", "Open Agoda Listing")</f>
        <v/>
      </c>
      <c r="K38" s="5" t="inlineStr">
        <is>
          <t>StayVista's Le Sutra Great Escapes - Geometrica</t>
        </is>
      </c>
      <c r="L38" s="2" t="n">
        <v>47</v>
      </c>
      <c r="M38" s="6" t="inlineStr">
        <is>
          <t>3-Bedroom Le Sutra Great Escapes Villa in Lonavala</t>
        </is>
      </c>
      <c r="N38" s="2" t="n">
        <v>50</v>
      </c>
      <c r="O38" s="2" t="n">
        <v>50</v>
      </c>
      <c r="P38" s="2" t="inlineStr">
        <is>
          <t>Within Limit (50/50 chars)</t>
        </is>
      </c>
      <c r="Q38" s="3" t="inlineStr">
        <is>
          <t>Standardized structure: Size + Name + USP + Location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RUN_002</t>
        </is>
      </c>
      <c r="B39" s="2" t="inlineStr">
        <is>
          <t>2026-09-21 12:56:31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>
        <f>HYPERLINK("None", "Open Airbnb Listing")</f>
        <v/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RUN_002</t>
        </is>
      </c>
      <c r="B40" s="2" t="inlineStr">
        <is>
          <t>2026-09-21 12:56:31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>
        <f>HYPERLINK("None", "Open Booking.com Listing")</f>
        <v/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Villa - 3BHK with Pool</t>
        </is>
      </c>
      <c r="N40" s="2" t="n">
        <v>45</v>
      </c>
      <c r="O40" s="2" t="n">
        <v>50</v>
      </c>
      <c r="P40" s="2" t="inlineStr">
        <is>
          <t>Fixed Truncation (69 -&gt; 45 chars)</t>
        </is>
      </c>
      <c r="Q40" s="3" t="inlineStr">
        <is>
          <t>Fixed overflow: old was 69/50 chars (truncated in search cards)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RUN_002</t>
        </is>
      </c>
      <c r="B41" s="2" t="inlineStr">
        <is>
          <t>2026-09-21 12:56:31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>
        <f>HYPERLINK("None", "Open MakeMyTrip Listing")</f>
        <v/>
      </c>
      <c r="K41" s="5" t="inlineStr">
        <is>
          <t>StayVista | Le Sutra Great Escapes - Geometrica</t>
        </is>
      </c>
      <c r="L41" s="2" t="n">
        <v>47</v>
      </c>
      <c r="M41" s="6" t="inlineStr">
        <is>
          <t>3BHK Le Sutra Great Escapes • Pool • Lonavala</t>
        </is>
      </c>
      <c r="N41" s="2" t="n">
        <v>45</v>
      </c>
      <c r="O41" s="2" t="n">
        <v>50</v>
      </c>
      <c r="P41" s="2" t="inlineStr">
        <is>
          <t>Within Limit (45/50 chars)</t>
        </is>
      </c>
      <c r="Q41" s="3" t="inlineStr">
        <is>
          <t>Removed non-compliant symbols ('|', '@', '+');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RUN_002</t>
        </is>
      </c>
      <c r="B42" s="2" t="inlineStr">
        <is>
          <t>2026-09-21 12:56:31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>
        <f>HYPERLINK("None", "Open Agoda Listing")</f>
        <v/>
      </c>
      <c r="K42" s="5" t="inlineStr">
        <is>
          <t>StayVista at Bungalow 89</t>
        </is>
      </c>
      <c r="L42" s="2" t="n">
        <v>24</v>
      </c>
      <c r="M42" s="6" t="inlineStr">
        <is>
          <t>4-Bedroom Bungalow 89 Villa in Lonavala</t>
        </is>
      </c>
      <c r="N42" s="2" t="n">
        <v>39</v>
      </c>
      <c r="O42" s="2" t="n">
        <v>50</v>
      </c>
      <c r="P42" s="2" t="inlineStr">
        <is>
          <t>Within Limit (39/50 chars)</t>
        </is>
      </c>
      <c r="Q42" s="3" t="inlineStr">
        <is>
          <t>Standardized structure: Size + Name + USP + Location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RUN_002</t>
        </is>
      </c>
      <c r="B43" s="2" t="inlineStr">
        <is>
          <t>2026-09-21 12:56:31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>
        <f>HYPERLINK("None", "Open Airbnb Listing")</f>
        <v/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RUN_002</t>
        </is>
      </c>
      <c r="B44" s="2" t="inlineStr">
        <is>
          <t>2026-09-21 12:56:31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>
        <f>HYPERLINK("None", "Open Booking.com Listing")</f>
        <v/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Villa - 4BHK with Private Pool</t>
        </is>
      </c>
      <c r="N44" s="2" t="n">
        <v>42</v>
      </c>
      <c r="O44" s="2" t="n">
        <v>50</v>
      </c>
      <c r="P44" s="2" t="inlineStr">
        <is>
          <t>Fixed Truncation (114 -&gt; 42 chars)</t>
        </is>
      </c>
      <c r="Q44" s="3" t="inlineStr">
        <is>
          <t>Fixed overflow: old was 114/50 chars (truncated in search cards)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RUN_002</t>
        </is>
      </c>
      <c r="B45" s="2" t="inlineStr">
        <is>
          <t>2026-09-21 12:56:31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>
        <f>HYPERLINK("None", "Open MakeMyTrip Listing")</f>
        <v/>
      </c>
      <c r="K45" s="5" t="inlineStr">
        <is>
          <t>StayVista at Bungalow 89</t>
        </is>
      </c>
      <c r="L45" s="2" t="n">
        <v>24</v>
      </c>
      <c r="M45" s="6" t="inlineStr">
        <is>
          <t>4BHK Bungalow 89 Villa • Private Pool • Lonavala</t>
        </is>
      </c>
      <c r="N45" s="2" t="n">
        <v>48</v>
      </c>
      <c r="O45" s="2" t="n">
        <v>50</v>
      </c>
      <c r="P45" s="2" t="inlineStr">
        <is>
          <t>Within Limit (48/50 chars)</t>
        </is>
      </c>
      <c r="Q45" s="3" t="inlineStr">
        <is>
          <t>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RUN_002</t>
        </is>
      </c>
      <c r="B46" s="2" t="inlineStr">
        <is>
          <t>2026-09-21 12:56:31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>
        <f>HYPERLINK("None", "Open Agoda Listing")</f>
        <v/>
      </c>
      <c r="K46" s="5" t="inlineStr">
        <is>
          <t>Shivom Villa 12 by Vista Rooms</t>
        </is>
      </c>
      <c r="L46" s="2" t="n">
        <v>30</v>
      </c>
      <c r="M46" s="6" t="inlineStr">
        <is>
          <t>3-Bedroom Shivom  12 Villa in Lonavala</t>
        </is>
      </c>
      <c r="N46" s="2" t="n">
        <v>38</v>
      </c>
      <c r="O46" s="2" t="n">
        <v>50</v>
      </c>
      <c r="P46" s="2" t="inlineStr">
        <is>
          <t>Within Limit (38/50 chars)</t>
        </is>
      </c>
      <c r="Q46" s="3" t="inlineStr">
        <is>
          <t>Standardized structure: Size + Name + USP + Location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RUN_002</t>
        </is>
      </c>
      <c r="B47" s="2" t="inlineStr">
        <is>
          <t>2026-09-21 12:56:31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>
        <f>HYPERLINK("None", "Open Airbnb Listing")</f>
        <v/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 12 • Infinity Pool &amp; Lake View</t>
        </is>
      </c>
      <c r="N47" s="2" t="n">
        <v>43</v>
      </c>
      <c r="O47" s="2" t="n">
        <v>44</v>
      </c>
      <c r="P47" s="2" t="inlineStr">
        <is>
          <t>Fixed Truncation (50 -&gt; 43 chars)</t>
        </is>
      </c>
      <c r="Q47" s="3" t="inlineStr">
        <is>
          <t>Fixed overflow: old was 50/44 chars (truncated in search cards); Removed non-compliant symbols ('|', '@', '+')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RUN_002</t>
        </is>
      </c>
      <c r="B48" s="2" t="inlineStr">
        <is>
          <t>2026-09-21 12:56:31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>
        <f>HYPERLINK("None", "Open Booking.com Listing")</f>
        <v/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Villa - 3BHK with Infinity Pool</t>
        </is>
      </c>
      <c r="N48" s="2" t="n">
        <v>42</v>
      </c>
      <c r="O48" s="2" t="n">
        <v>50</v>
      </c>
      <c r="P48" s="2" t="inlineStr">
        <is>
          <t>Fixed Truncation (82 -&gt; 42 chars)</t>
        </is>
      </c>
      <c r="Q48" s="3" t="inlineStr">
        <is>
          <t>Fixed overflow: old was 82/50 chars (truncated in search cards)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RUN_002</t>
        </is>
      </c>
      <c r="B49" s="2" t="inlineStr">
        <is>
          <t>2026-09-21 12:56:31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>
        <f>HYPERLINK("None", "Open MakeMyTrip Listing")</f>
        <v/>
      </c>
      <c r="K49" s="5" t="inlineStr">
        <is>
          <t>StayVista | Shivom Villa 12</t>
        </is>
      </c>
      <c r="L49" s="2" t="n">
        <v>27</v>
      </c>
      <c r="M49" s="6" t="inlineStr">
        <is>
          <t>3BHK Shivom  12 Villa • Infinity Pool • Lonavala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Removed non-compliant symbols ('|', '@', '+');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RUN_002</t>
        </is>
      </c>
      <c r="B50" s="2" t="inlineStr">
        <is>
          <t>2026-09-21 12:56:31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>
        <f>HYPERLINK("None", "Open Agoda Listing")</f>
        <v/>
      </c>
      <c r="K50" s="5" t="inlineStr">
        <is>
          <t>Greenwoods Ten by Vista Rooms</t>
        </is>
      </c>
      <c r="L50" s="2" t="n">
        <v>29</v>
      </c>
      <c r="M50" s="6" t="inlineStr">
        <is>
          <t>5-Bedroom Greenwoods  10 Villa in Lonavala</t>
        </is>
      </c>
      <c r="N50" s="2" t="n">
        <v>42</v>
      </c>
      <c r="O50" s="2" t="n">
        <v>50</v>
      </c>
      <c r="P50" s="2" t="inlineStr">
        <is>
          <t>Within Limit (42/50 chars)</t>
        </is>
      </c>
      <c r="Q50" s="3" t="inlineStr">
        <is>
          <t>Standardized structure: Size + Name + USP + Location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RUN_002</t>
        </is>
      </c>
      <c r="B51" s="2" t="inlineStr">
        <is>
          <t>2026-09-21 12:56:31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>
        <f>HYPERLINK("None", "Open Airbnb Listing")</f>
        <v/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 10 Villa w/ Private Pool</t>
        </is>
      </c>
      <c r="N51" s="2" t="n">
        <v>41</v>
      </c>
      <c r="O51" s="2" t="n">
        <v>44</v>
      </c>
      <c r="P51" s="2" t="inlineStr">
        <is>
          <t>Fixed Truncation (49 -&gt; 41 chars)</t>
        </is>
      </c>
      <c r="Q51" s="3" t="inlineStr">
        <is>
          <t>Fixed overflow: old was 49/44 chars (truncated in search cards); Removed non-compliant symbols ('|', '@', '+'); Removed redundant brand on Airbnb (prioritizes top USP)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RUN_002</t>
        </is>
      </c>
      <c r="B52" s="2" t="inlineStr">
        <is>
          <t>2026-09-21 12:56:31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>
        <f>HYPERLINK("None", "Open Booking.com Listing")</f>
        <v/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Villa - 5BHK with Private Pool</t>
        </is>
      </c>
      <c r="N52" s="2" t="n">
        <v>45</v>
      </c>
      <c r="O52" s="2" t="n">
        <v>50</v>
      </c>
      <c r="P52" s="2" t="inlineStr">
        <is>
          <t>Fixed Truncation (99 -&gt; 45 chars)</t>
        </is>
      </c>
      <c r="Q52" s="3" t="inlineStr">
        <is>
          <t>Fixed overflow: old was 99/50 chars (truncated in search cards)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RUN_002</t>
        </is>
      </c>
      <c r="B53" s="2" t="inlineStr">
        <is>
          <t>2026-09-21 12:56:31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>
        <f>HYPERLINK("None", "Open MakeMyTrip Listing")</f>
        <v/>
      </c>
      <c r="K53" s="5" t="inlineStr">
        <is>
          <t>StayVista | 5 BHK Greenwoods Ten Villa</t>
        </is>
      </c>
      <c r="L53" s="2" t="n">
        <v>38</v>
      </c>
      <c r="M53" s="6" t="inlineStr">
        <is>
          <t>5BHK Greenwoods  10 • Private Pool • Lonavala</t>
        </is>
      </c>
      <c r="N53" s="2" t="n">
        <v>45</v>
      </c>
      <c r="O53" s="2" t="n">
        <v>50</v>
      </c>
      <c r="P53" s="2" t="inlineStr">
        <is>
          <t>Within Limit (45/50 chars)</t>
        </is>
      </c>
      <c r="Q53" s="3" t="inlineStr">
        <is>
          <t>Removed non-compliant symbols ('|', '@', '+')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RUN_002</t>
        </is>
      </c>
      <c r="B54" s="2" t="inlineStr">
        <is>
          <t>2026-09-21 12:56:31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>
        <f>HYPERLINK("None", "Open Agoda Listing")</f>
        <v/>
      </c>
      <c r="K54" s="5" t="inlineStr">
        <is>
          <t>StayVista at Villa Azul</t>
        </is>
      </c>
      <c r="L54" s="2" t="n">
        <v>23</v>
      </c>
      <c r="M54" s="6" t="inlineStr">
        <is>
          <t>4-Bedroom Azul Villa, Lonavala w/ Pool</t>
        </is>
      </c>
      <c r="N54" s="2" t="n">
        <v>38</v>
      </c>
      <c r="O54" s="2" t="n">
        <v>50</v>
      </c>
      <c r="P54" s="2" t="inlineStr">
        <is>
          <t>Within Limit (38/50 chars)</t>
        </is>
      </c>
      <c r="Q54" s="3" t="inlineStr">
        <is>
          <t>Standardized structure: Size + Name + USP + Location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RUN_002</t>
        </is>
      </c>
      <c r="B55" s="2" t="inlineStr">
        <is>
          <t>2026-09-21 12:56:31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>
        <f>HYPERLINK("None", "Open Airbnb Listing")</f>
        <v/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Removed redundant brand on Airbnb (prioritizes top USP)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RUN_002</t>
        </is>
      </c>
      <c r="B56" s="2" t="inlineStr">
        <is>
          <t>2026-09-21 12:56:31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>
        <f>HYPERLINK("None", "Open Booking.com Listing")</f>
        <v/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Villa by StayVista - 4BHK w/ Pool</t>
        </is>
      </c>
      <c r="N56" s="2" t="n">
        <v>38</v>
      </c>
      <c r="O56" s="2" t="n">
        <v>50</v>
      </c>
      <c r="P56" s="2" t="inlineStr">
        <is>
          <t>Fixed Truncation (55 -&gt; 38 chars)</t>
        </is>
      </c>
      <c r="Q56" s="3" t="inlineStr">
        <is>
          <t>Fixed overflow: old was 55/50 chars (truncated in search cards)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RUN_002</t>
        </is>
      </c>
      <c r="B57" s="2" t="inlineStr">
        <is>
          <t>2026-09-21 12:56:31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>
        <f>HYPERLINK("None", "Open MakeMyTrip Listing")</f>
        <v/>
      </c>
      <c r="K57" s="5" t="inlineStr">
        <is>
          <t>Stayvista | Entire 4 BHK Villa Azul</t>
        </is>
      </c>
      <c r="L57" s="2" t="n">
        <v>35</v>
      </c>
      <c r="M57" s="6" t="inlineStr">
        <is>
          <t>4BHK Azul Villa • Pool • Lonavala</t>
        </is>
      </c>
      <c r="N57" s="2" t="n">
        <v>33</v>
      </c>
      <c r="O57" s="2" t="n">
        <v>50</v>
      </c>
      <c r="P57" s="2" t="inlineStr">
        <is>
          <t>Within Limit (33/50 chars)</t>
        </is>
      </c>
      <c r="Q57" s="3" t="inlineStr">
        <is>
          <t>Removed non-compliant symbols ('|', '@', '+')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RUN_002</t>
        </is>
      </c>
      <c r="B58" s="2" t="inlineStr">
        <is>
          <t>2026-09-21 12:56:31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>
        <f>HYPERLINK("None", "Open Agoda Listing")</f>
        <v/>
      </c>
      <c r="K58" s="5" t="inlineStr">
        <is>
          <t>Ashore by Vista Rooms</t>
        </is>
      </c>
      <c r="L58" s="2" t="n">
        <v>21</v>
      </c>
      <c r="M58" s="6" t="inlineStr">
        <is>
          <t>6-Bedroom Ashore Villa, Goa w/ Infinity Pool</t>
        </is>
      </c>
      <c r="N58" s="2" t="n">
        <v>44</v>
      </c>
      <c r="O58" s="2" t="n">
        <v>50</v>
      </c>
      <c r="P58" s="2" t="inlineStr">
        <is>
          <t>Within Limit (44/50 chars)</t>
        </is>
      </c>
      <c r="Q58" s="3" t="inlineStr">
        <is>
          <t>Standardized structure: Size + Name + USP + Location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RUN_002</t>
        </is>
      </c>
      <c r="B59" s="2" t="inlineStr">
        <is>
          <t>2026-09-21 12:56:31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>
        <f>HYPERLINK("None", "Open Airbnb Listing")</f>
        <v/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Removed redundant brand on Airbnb (prioritizes top USP)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RUN_002</t>
        </is>
      </c>
      <c r="B60" s="2" t="inlineStr">
        <is>
          <t>2026-09-21 12:56:31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>
        <f>HYPERLINK("None", "Open Booking.com Listing")</f>
        <v/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Villa by StayVista - 6BHK w/ Infinity Pool</t>
        </is>
      </c>
      <c r="N60" s="2" t="n">
        <v>49</v>
      </c>
      <c r="O60" s="2" t="n">
        <v>50</v>
      </c>
      <c r="P60" s="2" t="inlineStr">
        <is>
          <t>Fixed Truncation (80 -&gt; 49 chars)</t>
        </is>
      </c>
      <c r="Q60" s="3" t="inlineStr">
        <is>
          <t>Fixed overflow: old was 80/50 chars (truncated in search cards)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RUN_002</t>
        </is>
      </c>
      <c r="B61" s="2" t="inlineStr">
        <is>
          <t>2026-09-21 12:56:31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>
        <f>HYPERLINK("None", "Open MakeMyTrip Listing")</f>
        <v/>
      </c>
      <c r="K61" s="5" t="inlineStr">
        <is>
          <t>StayVista | Ashore 6 BHK Villa</t>
        </is>
      </c>
      <c r="L61" s="2" t="n">
        <v>30</v>
      </c>
      <c r="M61" s="6" t="inlineStr">
        <is>
          <t>6BHK Ashore Villa • Infinity Pool • Goa</t>
        </is>
      </c>
      <c r="N61" s="2" t="n">
        <v>39</v>
      </c>
      <c r="O61" s="2" t="n">
        <v>50</v>
      </c>
      <c r="P61" s="2" t="inlineStr">
        <is>
          <t>Within Limit (39/50 chars)</t>
        </is>
      </c>
      <c r="Q61" s="3" t="inlineStr">
        <is>
          <t>Removed non-compliant symbols ('|', '@', '+')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RUN_002</t>
        </is>
      </c>
      <c r="B62" s="2" t="inlineStr">
        <is>
          <t>2026-09-21 12:56:31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>
        <f>HYPERLINK("None", "Open Agoda Listing")</f>
        <v/>
      </c>
      <c r="K62" s="5" t="inlineStr">
        <is>
          <t>Villa Arcadia by Vista Rooms</t>
        </is>
      </c>
      <c r="L62" s="2" t="n">
        <v>28</v>
      </c>
      <c r="M62" s="6" t="inlineStr">
        <is>
          <t>3-Bedroom Arcadia Villa, Goa w/ Pool</t>
        </is>
      </c>
      <c r="N62" s="2" t="n">
        <v>36</v>
      </c>
      <c r="O62" s="2" t="n">
        <v>50</v>
      </c>
      <c r="P62" s="2" t="inlineStr">
        <is>
          <t>Within Limit (36/50 chars)</t>
        </is>
      </c>
      <c r="Q62" s="3" t="inlineStr">
        <is>
          <t>Standardized structure: Size + Name + USP + Location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RUN_002</t>
        </is>
      </c>
      <c r="B63" s="2" t="inlineStr">
        <is>
          <t>2026-09-21 12:56:31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>
        <f>HYPERLINK("None", "Open Airbnb Listing")</f>
        <v/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Removed redundant brand on Airbnb (prioritizes top USP)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RUN_002</t>
        </is>
      </c>
      <c r="B64" s="2" t="inlineStr">
        <is>
          <t>2026-09-21 12:56:31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>
        <f>HYPERLINK("None", "Open Booking.com Listing")</f>
        <v/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Villa by StayVista - 3BHK w/ Pool</t>
        </is>
      </c>
      <c r="N64" s="2" t="n">
        <v>41</v>
      </c>
      <c r="O64" s="2" t="n">
        <v>50</v>
      </c>
      <c r="P64" s="2" t="inlineStr">
        <is>
          <t>Fixed Truncation (79 -&gt; 41 chars)</t>
        </is>
      </c>
      <c r="Q64" s="3" t="inlineStr">
        <is>
          <t>Fixed overflow: old was 79/50 chars (truncated in search cards)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RUN_002</t>
        </is>
      </c>
      <c r="B65" s="2" t="inlineStr">
        <is>
          <t>2026-09-21 12:56:31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>
        <f>HYPERLINK("None", "Open MakeMyTrip Listing")</f>
        <v/>
      </c>
      <c r="K65" s="5" t="inlineStr">
        <is>
          <t>StayVista |3 BHK Pool Villa Arcadia</t>
        </is>
      </c>
      <c r="L65" s="2" t="n">
        <v>35</v>
      </c>
      <c r="M65" s="6" t="inlineStr">
        <is>
          <t>3BHK Arcadia Villa • Pool • Goa</t>
        </is>
      </c>
      <c r="N65" s="2" t="n">
        <v>31</v>
      </c>
      <c r="O65" s="2" t="n">
        <v>50</v>
      </c>
      <c r="P65" s="2" t="inlineStr">
        <is>
          <t>Within Limit (31/50 chars)</t>
        </is>
      </c>
      <c r="Q65" s="3" t="inlineStr">
        <is>
          <t>Removed non-compliant symbols ('|', '@', '+')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RUN_002</t>
        </is>
      </c>
      <c r="B66" s="2" t="inlineStr">
        <is>
          <t>2026-09-21 12:56:31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>
        <f>HYPERLINK("None", "Open Agoda Listing")</f>
        <v/>
      </c>
      <c r="K66" s="5" t="inlineStr">
        <is>
          <t>StayVista at Villa Meer</t>
        </is>
      </c>
      <c r="L66" s="2" t="n">
        <v>23</v>
      </c>
      <c r="M66" s="6" t="inlineStr">
        <is>
          <t>6-Bedroom Meer Villa, Nashik w/ Pool</t>
        </is>
      </c>
      <c r="N66" s="2" t="n">
        <v>36</v>
      </c>
      <c r="O66" s="2" t="n">
        <v>50</v>
      </c>
      <c r="P66" s="2" t="inlineStr">
        <is>
          <t>Within Limit (36/50 chars)</t>
        </is>
      </c>
      <c r="Q66" s="3" t="inlineStr">
        <is>
          <t>Standardized structure: Size + Name + USP + Location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RUN_002</t>
        </is>
      </c>
      <c r="B67" s="2" t="inlineStr">
        <is>
          <t>2026-09-21 12:56:31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>
        <f>HYPERLINK("None", "Open Airbnb Listing")</f>
        <v/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Standardized structure: Size + Name + USP + Location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RUN_002</t>
        </is>
      </c>
      <c r="B68" s="2" t="inlineStr">
        <is>
          <t>2026-09-21 12:56:31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>
        <f>HYPERLINK("None", "Open Booking.com Listing")</f>
        <v/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Villa by StayVista - 6BHK w/ Pool</t>
        </is>
      </c>
      <c r="N68" s="2" t="n">
        <v>38</v>
      </c>
      <c r="O68" s="2" t="n">
        <v>50</v>
      </c>
      <c r="P68" s="2" t="inlineStr">
        <is>
          <t>Fixed Truncation (59 -&gt; 38 chars)</t>
        </is>
      </c>
      <c r="Q68" s="3" t="inlineStr">
        <is>
          <t>Fixed overflow: old was 59/50 chars (truncated in search cards)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RUN_002</t>
        </is>
      </c>
      <c r="B69" s="2" t="inlineStr">
        <is>
          <t>2026-09-21 12:56:31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>
        <f>HYPERLINK("None", "Open MakeMyTrip Listing")</f>
        <v/>
      </c>
      <c r="K69" s="5" t="inlineStr">
        <is>
          <t>StayVista | Villa Meer</t>
        </is>
      </c>
      <c r="L69" s="2" t="n">
        <v>22</v>
      </c>
      <c r="M69" s="6" t="inlineStr">
        <is>
          <t>6BHK Meer Villa • Pool • Nashik</t>
        </is>
      </c>
      <c r="N69" s="2" t="n">
        <v>31</v>
      </c>
      <c r="O69" s="2" t="n">
        <v>50</v>
      </c>
      <c r="P69" s="2" t="inlineStr">
        <is>
          <t>Within Limit (31/50 chars)</t>
        </is>
      </c>
      <c r="Q69" s="3" t="inlineStr">
        <is>
          <t>Removed non-compliant symbols ('|', '@', '+');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RUN_002</t>
        </is>
      </c>
      <c r="B70" s="2" t="inlineStr">
        <is>
          <t>2026-09-21 12:56:31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>
        <f>HYPERLINK("None", "Open Agoda Listing")</f>
        <v/>
      </c>
      <c r="K70" s="5" t="inlineStr">
        <is>
          <t>StayVista at La Bougainvillea Heritage Home</t>
        </is>
      </c>
      <c r="L70" s="2" t="n">
        <v>43</v>
      </c>
      <c r="M70" s="6" t="inlineStr">
        <is>
          <t>5-Bedroom Villa in Goa w/ Private Pool</t>
        </is>
      </c>
      <c r="N70" s="2" t="n">
        <v>38</v>
      </c>
      <c r="O70" s="2" t="n">
        <v>50</v>
      </c>
      <c r="P70" s="2" t="inlineStr">
        <is>
          <t>Within Limit (38/50 chars)</t>
        </is>
      </c>
      <c r="Q70" s="3" t="inlineStr">
        <is>
          <t>Standardized structure: Size + Name + USP + Location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RUN_002</t>
        </is>
      </c>
      <c r="B71" s="2" t="inlineStr">
        <is>
          <t>2026-09-21 12:56:31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>
        <f>HYPERLINK("None", "Open Airbnb Listing")</f>
        <v/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Removed redundant brand on Airbnb (prioritizes top USP)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RUN_002</t>
        </is>
      </c>
      <c r="B72" s="2" t="inlineStr">
        <is>
          <t>2026-09-21 12:56:31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>
        <f>HYPERLINK("None", "Open Booking.com Listing")</f>
        <v/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La Bougainvillea Heritage Home by StayVista - 5BHK</t>
        </is>
      </c>
      <c r="N72" s="2" t="n">
        <v>50</v>
      </c>
      <c r="O72" s="2" t="n">
        <v>50</v>
      </c>
      <c r="P72" s="2" t="inlineStr">
        <is>
          <t>Fixed Truncation (85 -&gt; 50 chars)</t>
        </is>
      </c>
      <c r="Q72" s="3" t="inlineStr">
        <is>
          <t>Fixed overflow: old was 85/50 chars (truncated in search cards)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RUN_002</t>
        </is>
      </c>
      <c r="B73" s="2" t="inlineStr">
        <is>
          <t>2026-09-21 12:56:31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>
        <f>HYPERLINK("None", "Open MakeMyTrip Listing")</f>
        <v/>
      </c>
      <c r="K73" s="5" t="inlineStr">
        <is>
          <t>StayVista at La Bougainvillea Heritage Home</t>
        </is>
      </c>
      <c r="L73" s="2" t="n">
        <v>43</v>
      </c>
      <c r="M73" s="6" t="inlineStr">
        <is>
          <t>5BHK Villa • Private Pool • Goa</t>
        </is>
      </c>
      <c r="N73" s="2" t="n">
        <v>31</v>
      </c>
      <c r="O73" s="2" t="n">
        <v>50</v>
      </c>
      <c r="P73" s="2" t="inlineStr">
        <is>
          <t>Within Limit (31/50 chars)</t>
        </is>
      </c>
      <c r="Q73" s="3" t="inlineStr">
        <is>
          <t>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RUN_002</t>
        </is>
      </c>
      <c r="B74" s="2" t="inlineStr">
        <is>
          <t>2026-09-21 12:56:31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>
        <f>HYPERLINK("None", "Open Agoda Listing")</f>
        <v/>
      </c>
      <c r="K74" s="5" t="inlineStr">
        <is>
          <t>Cascades by Vista Rooms</t>
        </is>
      </c>
      <c r="L74" s="2" t="n">
        <v>23</v>
      </c>
      <c r="M74" s="6" t="inlineStr">
        <is>
          <t>3-Bedroom Cascades Villa, Lonavala w/ Pool</t>
        </is>
      </c>
      <c r="N74" s="2" t="n">
        <v>42</v>
      </c>
      <c r="O74" s="2" t="n">
        <v>50</v>
      </c>
      <c r="P74" s="2" t="inlineStr">
        <is>
          <t>Within Limit (42/50 chars)</t>
        </is>
      </c>
      <c r="Q74" s="3" t="inlineStr">
        <is>
          <t>Standardized structure: Size + Name + USP + Location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RUN_002</t>
        </is>
      </c>
      <c r="B75" s="2" t="inlineStr">
        <is>
          <t>2026-09-21 12:56:31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>
        <f>HYPERLINK("None", "Open Airbnb Listing")</f>
        <v/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Removed redundant brand on Airbnb (prioritizes top USP)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RUN_002</t>
        </is>
      </c>
      <c r="B76" s="2" t="inlineStr">
        <is>
          <t>2026-09-21 12:56:31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>
        <f>HYPERLINK("None", "Open Booking.com Listing")</f>
        <v/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Villa by StayVista - 3BHK w/ Pool</t>
        </is>
      </c>
      <c r="N76" s="2" t="n">
        <v>42</v>
      </c>
      <c r="O76" s="2" t="n">
        <v>50</v>
      </c>
      <c r="P76" s="2" t="inlineStr">
        <is>
          <t>Fixed Truncation (73 -&gt; 42 chars)</t>
        </is>
      </c>
      <c r="Q76" s="3" t="inlineStr">
        <is>
          <t>Fixed overflow: old was 73/50 chars (truncated in search cards)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RUN_002</t>
        </is>
      </c>
      <c r="B77" s="2" t="inlineStr">
        <is>
          <t>2026-09-21 12:56:31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>
        <f>HYPERLINK("None", "Open MakeMyTrip Listing")</f>
        <v/>
      </c>
      <c r="K77" s="5" t="inlineStr">
        <is>
          <t>StayVista | Cascades 3 BHK Pool Villa</t>
        </is>
      </c>
      <c r="L77" s="2" t="n">
        <v>37</v>
      </c>
      <c r="M77" s="6" t="inlineStr">
        <is>
          <t>3BHK Cascades Villa • Pool • Lonavala</t>
        </is>
      </c>
      <c r="N77" s="2" t="n">
        <v>37</v>
      </c>
      <c r="O77" s="2" t="n">
        <v>50</v>
      </c>
      <c r="P77" s="2" t="inlineStr">
        <is>
          <t>Within Limit (37/50 chars)</t>
        </is>
      </c>
      <c r="Q77" s="3" t="inlineStr">
        <is>
          <t>Removed non-compliant symbols ('|', '@', '+')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RUN_002</t>
        </is>
      </c>
      <c r="B78" s="2" t="inlineStr">
        <is>
          <t>2026-09-21 12:56:31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>
        <f>HYPERLINK("None", "Open Agoda Listing")</f>
        <v/>
      </c>
      <c r="K78" s="5" t="inlineStr">
        <is>
          <t>StayVista at Greenwoods Villa 5</t>
        </is>
      </c>
      <c r="L78" s="2" t="n">
        <v>31</v>
      </c>
      <c r="M78" s="6" t="inlineStr">
        <is>
          <t>5-Bedroom Greenwoods  5 Villa in Lonavala</t>
        </is>
      </c>
      <c r="N78" s="2" t="n">
        <v>41</v>
      </c>
      <c r="O78" s="2" t="n">
        <v>50</v>
      </c>
      <c r="P78" s="2" t="inlineStr">
        <is>
          <t>Within Limit (41/50 chars)</t>
        </is>
      </c>
      <c r="Q78" s="3" t="inlineStr">
        <is>
          <t>Standardized structure: Size + Name + USP + Location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RUN_002</t>
        </is>
      </c>
      <c r="B79" s="2" t="inlineStr">
        <is>
          <t>2026-09-21 12:56:31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>
        <f>HYPERLINK("None", "Open Airbnb Listing")</f>
        <v/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 5 • Private Pool &amp; Lawn</t>
        </is>
      </c>
      <c r="N79" s="2" t="n">
        <v>40</v>
      </c>
      <c r="O79" s="2" t="n">
        <v>44</v>
      </c>
      <c r="P79" s="2" t="inlineStr">
        <is>
          <t>Fixed Truncation (50 -&gt; 40 chars)</t>
        </is>
      </c>
      <c r="Q79" s="3" t="inlineStr">
        <is>
          <t>Fixed overflow: old was 50/44 chars (truncated in search cards); Removed non-compliant symbols ('|', '@', '+'); Removed redundant brand on Airbnb (prioritizes top USP)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RUN_002</t>
        </is>
      </c>
      <c r="B80" s="2" t="inlineStr">
        <is>
          <t>2026-09-21 12:56:31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>
        <f>HYPERLINK("None", "Open Booking.com Listing")</f>
        <v/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Villa - 5BHK with Private Pool</t>
        </is>
      </c>
      <c r="N80" s="2" t="n">
        <v>44</v>
      </c>
      <c r="O80" s="2" t="n">
        <v>50</v>
      </c>
      <c r="P80" s="2" t="inlineStr">
        <is>
          <t>Fixed Truncation (98 -&gt; 44 chars)</t>
        </is>
      </c>
      <c r="Q80" s="3" t="inlineStr">
        <is>
          <t>Fixed overflow: old was 98/50 chars (truncated in search cards)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RUN_002</t>
        </is>
      </c>
      <c r="B81" s="2" t="inlineStr">
        <is>
          <t>2026-09-21 12:56:31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>
        <f>HYPERLINK("None", "Open MakeMyTrip Listing")</f>
        <v/>
      </c>
      <c r="K81" s="5" t="inlineStr">
        <is>
          <t>StayVista | Greenwoods Five 5 BHK Villa</t>
        </is>
      </c>
      <c r="L81" s="2" t="n">
        <v>39</v>
      </c>
      <c r="M81" s="6" t="inlineStr">
        <is>
          <t>5BHK Greenwoods  5 Villa • Private Pool • Lonavala</t>
        </is>
      </c>
      <c r="N81" s="2" t="n">
        <v>50</v>
      </c>
      <c r="O81" s="2" t="n">
        <v>50</v>
      </c>
      <c r="P81" s="2" t="inlineStr">
        <is>
          <t>Within Limit (50/50 chars)</t>
        </is>
      </c>
      <c r="Q81" s="3" t="inlineStr">
        <is>
          <t>Removed non-compliant symbols ('|', '@', '+')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RUN_002</t>
        </is>
      </c>
      <c r="B82" s="2" t="inlineStr">
        <is>
          <t>2026-09-21 12:56:31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>
        <f>HYPERLINK("None", "Open Agoda Listing")</f>
        <v/>
      </c>
      <c r="K82" s="5" t="inlineStr">
        <is>
          <t>StayVista at The Kathguni House</t>
        </is>
      </c>
      <c r="L82" s="2" t="n">
        <v>31</v>
      </c>
      <c r="M82" s="6" t="inlineStr">
        <is>
          <t>3-Bedroom The Kathguni Villa, Manali w/ Lawn</t>
        </is>
      </c>
      <c r="N82" s="2" t="n">
        <v>44</v>
      </c>
      <c r="O82" s="2" t="n">
        <v>50</v>
      </c>
      <c r="P82" s="2" t="inlineStr">
        <is>
          <t>Within Limit (44/50 chars)</t>
        </is>
      </c>
      <c r="Q82" s="3" t="inlineStr">
        <is>
          <t>Standardized structure: Size + Name + USP + Location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RUN_002</t>
        </is>
      </c>
      <c r="B83" s="2" t="inlineStr">
        <is>
          <t>2026-09-21 12:56:31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>
        <f>HYPERLINK("None", "Open Airbnb Listing")</f>
        <v/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RUN_002</t>
        </is>
      </c>
      <c r="B84" s="2" t="inlineStr">
        <is>
          <t>2026-09-21 12:56:31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>
        <f>HYPERLINK("None", "Open Booking.com Listing")</f>
        <v/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Villa by StayVista - 3BHK w/ Lawn</t>
        </is>
      </c>
      <c r="N84" s="2" t="n">
        <v>46</v>
      </c>
      <c r="O84" s="2" t="n">
        <v>50</v>
      </c>
      <c r="P84" s="2" t="inlineStr">
        <is>
          <t>Fixed Truncation (58 -&gt; 46 chars)</t>
        </is>
      </c>
      <c r="Q84" s="3" t="inlineStr">
        <is>
          <t>Fixed overflow: old was 58/50 chars (truncated in search cards)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RUN_002</t>
        </is>
      </c>
      <c r="B85" s="2" t="inlineStr">
        <is>
          <t>2026-09-21 12:56:31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>
        <f>HYPERLINK("None", "Open MakeMyTrip Listing")</f>
        <v/>
      </c>
      <c r="K85" s="5" t="inlineStr">
        <is>
          <t>StayVista | Kathguni House 3 BHK Villa</t>
        </is>
      </c>
      <c r="L85" s="2" t="n">
        <v>38</v>
      </c>
      <c r="M85" s="6" t="inlineStr">
        <is>
          <t>3BHK The Kathguni Villa • Lawn • Manali</t>
        </is>
      </c>
      <c r="N85" s="2" t="n">
        <v>39</v>
      </c>
      <c r="O85" s="2" t="n">
        <v>50</v>
      </c>
      <c r="P85" s="2" t="inlineStr">
        <is>
          <t>Within Limit (39/50 chars)</t>
        </is>
      </c>
      <c r="Q85" s="3" t="inlineStr">
        <is>
          <t>Removed non-compliant symbols ('|', '@', '+')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RUN_002</t>
        </is>
      </c>
      <c r="B86" s="2" t="inlineStr">
        <is>
          <t>2026-09-21 12:56:31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>
        <f>HYPERLINK("None", "Open Agoda Listing")</f>
        <v/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3-Bedroom Shubmann Villa, Wada w/ Private Pool</t>
        </is>
      </c>
      <c r="N86" s="2" t="n">
        <v>46</v>
      </c>
      <c r="O86" s="2" t="n">
        <v>50</v>
      </c>
      <c r="P86" s="2" t="inlineStr">
        <is>
          <t>Fixed Truncation (54 -&gt; 46 chars)</t>
        </is>
      </c>
      <c r="Q86" s="3" t="inlineStr">
        <is>
          <t>Fixed overflow: old was 54/50 chars (truncated in search cards)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RUN_002</t>
        </is>
      </c>
      <c r="B87" s="2" t="inlineStr">
        <is>
          <t>2026-09-21 12:56:31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>
        <f>HYPERLINK("None", "Open Airbnb Listing")</f>
        <v/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Removed redundant brand on Airbnb (prioritizes top USP)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RUN_002</t>
        </is>
      </c>
      <c r="B88" s="2" t="inlineStr">
        <is>
          <t>2026-09-21 12:56:31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>
        <f>HYPERLINK("None", "Open Booking.com Listing")</f>
        <v/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Villa by StayVista - 3BHK w/ Private Pool</t>
        </is>
      </c>
      <c r="N88" s="2" t="n">
        <v>50</v>
      </c>
      <c r="O88" s="2" t="n">
        <v>50</v>
      </c>
      <c r="P88" s="2" t="inlineStr">
        <is>
          <t>Fixed Truncation (71 -&gt; 50 chars)</t>
        </is>
      </c>
      <c r="Q88" s="3" t="inlineStr">
        <is>
          <t>Fixed overflow: old was 71/50 chars (truncated in search cards)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RUN_002</t>
        </is>
      </c>
      <c r="B89" s="2" t="inlineStr">
        <is>
          <t>2026-09-21 12:56:31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>
        <f>HYPERLINK("None", "Open MakeMyTrip Listing")</f>
        <v/>
      </c>
      <c r="K89" s="5" t="inlineStr">
        <is>
          <t>StayVista | Shubmann 3 BHK Villa</t>
        </is>
      </c>
      <c r="L89" s="2" t="n">
        <v>32</v>
      </c>
      <c r="M89" s="6" t="inlineStr">
        <is>
          <t>3BHK Shubmann Villa • Private Pool • Wada</t>
        </is>
      </c>
      <c r="N89" s="2" t="n">
        <v>41</v>
      </c>
      <c r="O89" s="2" t="n">
        <v>50</v>
      </c>
      <c r="P89" s="2" t="inlineStr">
        <is>
          <t>Within Limit (41/50 chars)</t>
        </is>
      </c>
      <c r="Q89" s="3" t="inlineStr">
        <is>
          <t>Removed non-compliant symbols ('|', '@', '+')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RUN_002</t>
        </is>
      </c>
      <c r="B90" s="2" t="inlineStr">
        <is>
          <t>2026-09-21 12:56:31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>
        <f>HYPERLINK("None", "Open Agoda Listing")</f>
        <v/>
      </c>
      <c r="K90" s="5" t="inlineStr">
        <is>
          <t>StayVista at The Hideout Farms - Kurukshetra</t>
        </is>
      </c>
      <c r="L90" s="2" t="n">
        <v>44</v>
      </c>
      <c r="M90" s="6" t="inlineStr">
        <is>
          <t>2-Bedroom The Hideout Farms Villa, India w/ Pool</t>
        </is>
      </c>
      <c r="N90" s="2" t="n">
        <v>48</v>
      </c>
      <c r="O90" s="2" t="n">
        <v>50</v>
      </c>
      <c r="P90" s="2" t="inlineStr">
        <is>
          <t>Within Limit (48/50 chars)</t>
        </is>
      </c>
      <c r="Q90" s="3" t="inlineStr">
        <is>
          <t>Standardized structure: Size + Name + USP + Location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RUN_002</t>
        </is>
      </c>
      <c r="B91" s="2" t="inlineStr">
        <is>
          <t>2026-09-21 12:56:31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>
        <f>HYPERLINK("None", "Open Airbnb Listing")</f>
        <v/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Removed redundant brand on Airbnb (prioritizes top USP)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RUN_002</t>
        </is>
      </c>
      <c r="B92" s="2" t="inlineStr">
        <is>
          <t>2026-09-21 12:56:31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>
        <f>HYPERLINK("None", "Open Booking.com Listing")</f>
        <v/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Villa - 2BHK with Pool</t>
        </is>
      </c>
      <c r="N92" s="2" t="n">
        <v>40</v>
      </c>
      <c r="O92" s="2" t="n">
        <v>50</v>
      </c>
      <c r="P92" s="2" t="inlineStr">
        <is>
          <t>Fixed Truncation (94 -&gt; 40 chars)</t>
        </is>
      </c>
      <c r="Q92" s="3" t="inlineStr">
        <is>
          <t>Fixed overflow: old was 94/50 chars (truncated in search cards)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RUN_002</t>
        </is>
      </c>
      <c r="B93" s="2" t="inlineStr">
        <is>
          <t>2026-09-21 12:56:31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>
        <f>HYPERLINK("None", "Open MakeMyTrip Listing")</f>
        <v/>
      </c>
      <c r="K93" s="5" t="inlineStr">
        <is>
          <t>StayVista at The Hideout Farm</t>
        </is>
      </c>
      <c r="L93" s="2" t="n">
        <v>29</v>
      </c>
      <c r="M93" s="6" t="inlineStr">
        <is>
          <t>2BHK The Hideout Farms Villa • Pool • India</t>
        </is>
      </c>
      <c r="N93" s="2" t="n">
        <v>43</v>
      </c>
      <c r="O93" s="2" t="n">
        <v>50</v>
      </c>
      <c r="P93" s="2" t="inlineStr">
        <is>
          <t>Within Limit (43/50 chars)</t>
        </is>
      </c>
      <c r="Q93" s="3" t="inlineStr">
        <is>
          <t>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RUN_002</t>
        </is>
      </c>
      <c r="B94" s="2" t="inlineStr">
        <is>
          <t>2026-09-21 12:56:31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>
        <f>HYPERLINK("None", "Open Agoda Listing")</f>
        <v/>
      </c>
      <c r="K94" s="5" t="inlineStr">
        <is>
          <t>StayVista at Padam Hill</t>
        </is>
      </c>
      <c r="L94" s="2" t="n">
        <v>23</v>
      </c>
      <c r="M94" s="6" t="inlineStr">
        <is>
          <t>3-Bedroom Padam Hill Villa, Kasauli w/ Bonfire</t>
        </is>
      </c>
      <c r="N94" s="2" t="n">
        <v>46</v>
      </c>
      <c r="O94" s="2" t="n">
        <v>50</v>
      </c>
      <c r="P94" s="2" t="inlineStr">
        <is>
          <t>Within Limit (46/50 chars)</t>
        </is>
      </c>
      <c r="Q94" s="3" t="inlineStr">
        <is>
          <t>Standardized structure: Size + Name + USP + Location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RUN_002</t>
        </is>
      </c>
      <c r="B95" s="2" t="inlineStr">
        <is>
          <t>2026-09-21 12:56:31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>
        <f>HYPERLINK("None", "Open Airbnb Listing")</f>
        <v/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Standardized structure: Size + Name + USP + Location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RUN_002</t>
        </is>
      </c>
      <c r="B96" s="2" t="inlineStr">
        <is>
          <t>2026-09-21 12:56:31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>
        <f>HYPERLINK("None", "Open Booking.com Listing")</f>
        <v/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Villa by StayVista - 3BHK w/ Bonfire</t>
        </is>
      </c>
      <c r="N96" s="2" t="n">
        <v>47</v>
      </c>
      <c r="O96" s="2" t="n">
        <v>50</v>
      </c>
      <c r="P96" s="2" t="inlineStr">
        <is>
          <t>Fixed Truncation (62 -&gt; 47 chars)</t>
        </is>
      </c>
      <c r="Q96" s="3" t="inlineStr">
        <is>
          <t>Fixed overflow: old was 62/50 chars (truncated in search cards)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RUN_002</t>
        </is>
      </c>
      <c r="B97" s="2" t="inlineStr">
        <is>
          <t>2026-09-21 12:56:31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>
        <f>HYPERLINK("None", "Open MakeMyTrip Listing")</f>
        <v/>
      </c>
      <c r="K97" s="5" t="inlineStr">
        <is>
          <t>StayVista at Padam Hill</t>
        </is>
      </c>
      <c r="L97" s="2" t="n">
        <v>23</v>
      </c>
      <c r="M97" s="6" t="inlineStr">
        <is>
          <t>3BHK Padam Hill Villa • Bonfire • Kasauli</t>
        </is>
      </c>
      <c r="N97" s="2" t="n">
        <v>41</v>
      </c>
      <c r="O97" s="2" t="n">
        <v>50</v>
      </c>
      <c r="P97" s="2" t="inlineStr">
        <is>
          <t>Within Limit (41/50 chars)</t>
        </is>
      </c>
      <c r="Q97" s="3" t="inlineStr">
        <is>
          <t>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RUN_002</t>
        </is>
      </c>
      <c r="B98" s="2" t="inlineStr">
        <is>
          <t>2026-09-21 12:56:31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>
        <f>HYPERLINK("None", "Open Agoda Listing")</f>
        <v/>
      </c>
      <c r="K98" s="5" t="inlineStr">
        <is>
          <t>Gram's at Shivom, Pawna Lake by StayVista</t>
        </is>
      </c>
      <c r="L98" s="2" t="n">
        <v>41</v>
      </c>
      <c r="M98" s="6" t="inlineStr">
        <is>
          <t>3-Bedroom Villa in Lonavala w/ Pool</t>
        </is>
      </c>
      <c r="N98" s="2" t="n">
        <v>35</v>
      </c>
      <c r="O98" s="2" t="n">
        <v>50</v>
      </c>
      <c r="P98" s="2" t="inlineStr">
        <is>
          <t>Within Limit (35/50 chars)</t>
        </is>
      </c>
      <c r="Q98" s="3" t="inlineStr">
        <is>
          <t>Standardized structure: Size + Name + USP + Location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RUN_002</t>
        </is>
      </c>
      <c r="B99" s="2" t="inlineStr">
        <is>
          <t>2026-09-21 12:56:31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>
        <f>HYPERLINK("None", "Open Airbnb Listing")</f>
        <v/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Removed redundant brand on Airbnb (prioritizes top USP)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RUN_002</t>
        </is>
      </c>
      <c r="B100" s="2" t="inlineStr">
        <is>
          <t>2026-09-21 12:56:31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>
        <f>HYPERLINK("None", "Open Booking.com Listing")</f>
        <v/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Gram's at Shivom, Pawna Lake by by StayVista - 3BH</t>
        </is>
      </c>
      <c r="N100" s="2" t="n">
        <v>50</v>
      </c>
      <c r="O100" s="2" t="n">
        <v>50</v>
      </c>
      <c r="P100" s="2" t="inlineStr">
        <is>
          <t>Fixed Truncation (57 -&gt; 50 chars)</t>
        </is>
      </c>
      <c r="Q100" s="3" t="inlineStr">
        <is>
          <t>Fixed overflow: old was 57/50 chars (truncated in search cards)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RUN_002</t>
        </is>
      </c>
      <c r="B101" s="2" t="inlineStr">
        <is>
          <t>2026-09-21 12:56:31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>
        <f>HYPERLINK("None", "Open MakeMyTrip Listing")</f>
        <v/>
      </c>
      <c r="K101" s="5" t="inlineStr">
        <is>
          <t>Gram's at Shivom, Pawna Lake by StayVista</t>
        </is>
      </c>
      <c r="L101" s="2" t="n">
        <v>41</v>
      </c>
      <c r="M101" s="6" t="inlineStr">
        <is>
          <t>3BHK Villa • Pool • Lonavala</t>
        </is>
      </c>
      <c r="N101" s="2" t="n">
        <v>28</v>
      </c>
      <c r="O101" s="2" t="n">
        <v>50</v>
      </c>
      <c r="P101" s="2" t="inlineStr">
        <is>
          <t>Within Limit (28/50 chars)</t>
        </is>
      </c>
      <c r="Q101" s="3" t="inlineStr">
        <is>
          <t>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RUN_002</t>
        </is>
      </c>
      <c r="B102" s="2" t="inlineStr">
        <is>
          <t>2026-09-21 12:56:31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>
        <f>HYPERLINK("None", "Open Agoda Listing")</f>
        <v/>
      </c>
      <c r="K102" s="5" t="inlineStr">
        <is>
          <t>The Owl House by VEO - Part of StayVista</t>
        </is>
      </c>
      <c r="L102" s="2" t="n">
        <v>40</v>
      </c>
      <c r="M102" s="6" t="inlineStr">
        <is>
          <t>4-Bedroom The Owl  by VEO House, Jaipur w/ Lawn</t>
        </is>
      </c>
      <c r="N102" s="2" t="n">
        <v>47</v>
      </c>
      <c r="O102" s="2" t="n">
        <v>50</v>
      </c>
      <c r="P102" s="2" t="inlineStr">
        <is>
          <t>Within Limit (47/50 chars)</t>
        </is>
      </c>
      <c r="Q102" s="3" t="inlineStr">
        <is>
          <t>Standardized structure: Size + Name + USP + Location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RUN_002</t>
        </is>
      </c>
      <c r="B103" s="2" t="inlineStr">
        <is>
          <t>2026-09-21 12:56:31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>
        <f>HYPERLINK("None", "Open Airbnb Listing")</f>
        <v/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 by VEO House w/ Lawn</t>
        </is>
      </c>
      <c r="N103" s="2" t="n">
        <v>34</v>
      </c>
      <c r="O103" s="2" t="n">
        <v>44</v>
      </c>
      <c r="P103" s="2" t="inlineStr">
        <is>
          <t>Fixed Truncation (50 -&gt; 34 chars)</t>
        </is>
      </c>
      <c r="Q103" s="3" t="inlineStr">
        <is>
          <t>Fixed overflow: old was 50/44 chars (truncated in search cards); Removed non-compliant symbols ('|', '@', '+'); Removed redundant brand on Airbnb (prioritizes top USP)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RUN_002</t>
        </is>
      </c>
      <c r="B104" s="2" t="inlineStr">
        <is>
          <t>2026-09-21 12:56:31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>
        <f>HYPERLINK("None", "Open Booking.com Listing")</f>
        <v/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House by StayVista - 4BHK w/ Lawn</t>
        </is>
      </c>
      <c r="N104" s="2" t="n">
        <v>49</v>
      </c>
      <c r="O104" s="2" t="n">
        <v>50</v>
      </c>
      <c r="P104" s="2" t="inlineStr">
        <is>
          <t>Fixed Truncation (66 -&gt; 49 chars)</t>
        </is>
      </c>
      <c r="Q104" s="3" t="inlineStr">
        <is>
          <t>Fixed overflow: old was 66/50 chars (truncated in search cards)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RUN_002</t>
        </is>
      </c>
      <c r="B105" s="2" t="inlineStr">
        <is>
          <t>2026-09-21 12:56:31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>
        <f>HYPERLINK("None", "Open MakeMyTrip Listing")</f>
        <v/>
      </c>
      <c r="K105" s="5" t="inlineStr">
        <is>
          <t>The Owl House by VEO - Part of StayVista</t>
        </is>
      </c>
      <c r="L105" s="2" t="n">
        <v>40</v>
      </c>
      <c r="M105" s="6" t="inlineStr">
        <is>
          <t>4BHK The Owl  by VEO House • Lawn • Jaipur</t>
        </is>
      </c>
      <c r="N105" s="2" t="n">
        <v>42</v>
      </c>
      <c r="O105" s="2" t="n">
        <v>50</v>
      </c>
      <c r="P105" s="2" t="inlineStr">
        <is>
          <t>Within Limit (42/50 chars)</t>
        </is>
      </c>
      <c r="Q105" s="3" t="inlineStr">
        <is>
          <t>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RUN_002</t>
        </is>
      </c>
      <c r="B106" s="2" t="inlineStr">
        <is>
          <t>2026-09-21 12:56:31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>
        <f>HYPERLINK("None", "Open Agoda Listing")</f>
        <v/>
      </c>
      <c r="K106" s="5" t="inlineStr">
        <is>
          <t>StayVista at Tall Silver</t>
        </is>
      </c>
      <c r="L106" s="2" t="n">
        <v>24</v>
      </c>
      <c r="M106" s="6" t="inlineStr">
        <is>
          <t>2-Bedroom Tall Silver Villa in Coorg</t>
        </is>
      </c>
      <c r="N106" s="2" t="n">
        <v>36</v>
      </c>
      <c r="O106" s="2" t="n">
        <v>50</v>
      </c>
      <c r="P106" s="2" t="inlineStr">
        <is>
          <t>Within Limit (36/50 chars)</t>
        </is>
      </c>
      <c r="Q106" s="3" t="inlineStr">
        <is>
          <t>Standardized structure: Size + Name + USP + Location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RUN_002</t>
        </is>
      </c>
      <c r="B107" s="2" t="inlineStr">
        <is>
          <t>2026-09-21 12:56:31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>
        <f>HYPERLINK("None", "Open Airbnb Listing")</f>
        <v/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Removed redundant brand on Airbnb (prioritizes top USP)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RUN_002</t>
        </is>
      </c>
      <c r="B108" s="2" t="inlineStr">
        <is>
          <t>2026-09-21 12:56:31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>
        <f>HYPERLINK("None", "Open Booking.com Listing")</f>
        <v/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Villa - 2BHK with Infinity Pool</t>
        </is>
      </c>
      <c r="N108" s="2" t="n">
        <v>43</v>
      </c>
      <c r="O108" s="2" t="n">
        <v>50</v>
      </c>
      <c r="P108" s="2" t="inlineStr">
        <is>
          <t>Fixed Truncation (67 -&gt; 43 chars)</t>
        </is>
      </c>
      <c r="Q108" s="3" t="inlineStr">
        <is>
          <t>Fixed overflow: old was 67/50 chars (truncated in search cards)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RUN_002</t>
        </is>
      </c>
      <c r="B109" s="2" t="inlineStr">
        <is>
          <t>2026-09-21 12:56:31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>
        <f>HYPERLINK("None", "Open MakeMyTrip Listing")</f>
        <v/>
      </c>
      <c r="K109" s="5" t="inlineStr">
        <is>
          <t>StayVista | Villa Tall Silver</t>
        </is>
      </c>
      <c r="L109" s="2" t="n">
        <v>29</v>
      </c>
      <c r="M109" s="6" t="inlineStr">
        <is>
          <t>2BHK Tall Silver Villa • Infinity Pool • Coorg</t>
        </is>
      </c>
      <c r="N109" s="2" t="n">
        <v>46</v>
      </c>
      <c r="O109" s="2" t="n">
        <v>50</v>
      </c>
      <c r="P109" s="2" t="inlineStr">
        <is>
          <t>Within Limit (46/50 chars)</t>
        </is>
      </c>
      <c r="Q109" s="3" t="inlineStr">
        <is>
          <t>Removed non-compliant symbols ('|', '@', '+');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RUN_002</t>
        </is>
      </c>
      <c r="B110" s="2" t="inlineStr">
        <is>
          <t>2026-09-21 12:56:31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>
        <f>HYPERLINK("None", "Open Agoda Listing")</f>
        <v/>
      </c>
      <c r="K110" s="5" t="inlineStr">
        <is>
          <t>Mistletoe House by VEO - Part of StayVista</t>
        </is>
      </c>
      <c r="L110" s="2" t="n">
        <v>42</v>
      </c>
      <c r="M110" s="6" t="inlineStr">
        <is>
          <t>6-Bedroom Mistletoe House in Nainital</t>
        </is>
      </c>
      <c r="N110" s="2" t="n">
        <v>37</v>
      </c>
      <c r="O110" s="2" t="n">
        <v>50</v>
      </c>
      <c r="P110" s="2" t="inlineStr">
        <is>
          <t>Within Limit (37/50 chars)</t>
        </is>
      </c>
      <c r="Q110" s="3" t="inlineStr">
        <is>
          <t>Standardized structure: Size + Name + USP + Location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RUN_002</t>
        </is>
      </c>
      <c r="B111" s="2" t="inlineStr">
        <is>
          <t>2026-09-21 12:56:31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>
        <f>HYPERLINK("None", "Open Airbnb Listing")</f>
        <v/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RUN_002</t>
        </is>
      </c>
      <c r="B112" s="2" t="inlineStr">
        <is>
          <t>2026-09-21 12:56:31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>
        <f>HYPERLINK("None", "Open Booking.com Listing")</f>
        <v/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House - 6BHK with Mountain View</t>
        </is>
      </c>
      <c r="N112" s="2" t="n">
        <v>41</v>
      </c>
      <c r="O112" s="2" t="n">
        <v>50</v>
      </c>
      <c r="P112" s="2" t="inlineStr">
        <is>
          <t>Fixed Truncation (69 -&gt; 41 chars)</t>
        </is>
      </c>
      <c r="Q112" s="3" t="inlineStr">
        <is>
          <t>Fixed overflow: old was 69/50 chars (truncated in search cards)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RUN_002</t>
        </is>
      </c>
      <c r="B113" s="2" t="inlineStr">
        <is>
          <t>2026-09-21 12:56:31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>
        <f>HYPERLINK("None", "Open MakeMyTrip Listing")</f>
        <v/>
      </c>
      <c r="K113" s="5" t="inlineStr">
        <is>
          <t>StayVista | Mistletoe House</t>
        </is>
      </c>
      <c r="L113" s="2" t="n">
        <v>27</v>
      </c>
      <c r="M113" s="6" t="inlineStr">
        <is>
          <t>6BHK Mistletoe House • Mountain View • Nainital</t>
        </is>
      </c>
      <c r="N113" s="2" t="n">
        <v>47</v>
      </c>
      <c r="O113" s="2" t="n">
        <v>50</v>
      </c>
      <c r="P113" s="2" t="inlineStr">
        <is>
          <t>Within Limit (47/50 chars)</t>
        </is>
      </c>
      <c r="Q113" s="3" t="inlineStr">
        <is>
          <t>Removed non-compliant symbols ('|', '@', '+');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RUN_002</t>
        </is>
      </c>
      <c r="B114" s="2" t="inlineStr">
        <is>
          <t>2026-09-21 12:56:31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>
        <f>HYPERLINK("None", "Open Agoda Listing")</f>
        <v/>
      </c>
      <c r="K114" s="5" t="inlineStr">
        <is>
          <t>StayVista at The Lilly Ooty with Breakfast</t>
        </is>
      </c>
      <c r="L114" s="2" t="n">
        <v>42</v>
      </c>
      <c r="M114" s="6" t="inlineStr">
        <is>
          <t>4-Bedroom The Lilly Ooty Villa in Ooty</t>
        </is>
      </c>
      <c r="N114" s="2" t="n">
        <v>38</v>
      </c>
      <c r="O114" s="2" t="n">
        <v>50</v>
      </c>
      <c r="P114" s="2" t="inlineStr">
        <is>
          <t>Within Limit (38/50 chars)</t>
        </is>
      </c>
      <c r="Q114" s="3" t="inlineStr">
        <is>
          <t>Standardized structure: Size + Name + USP + Location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RUN_002</t>
        </is>
      </c>
      <c r="B115" s="2" t="inlineStr">
        <is>
          <t>2026-09-21 12:56:31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>
        <f>HYPERLINK("None", "Open Airbnb Listing")</f>
        <v/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Removed redundant brand on Airbnb (prioritizes top USP)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RUN_002</t>
        </is>
      </c>
      <c r="B116" s="2" t="inlineStr">
        <is>
          <t>2026-09-21 12:56:31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>
        <f>HYPERLINK("None", "Open Booking.com Listing")</f>
        <v/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Villa - 4BHK with Private Pool</t>
        </is>
      </c>
      <c r="N116" s="2" t="n">
        <v>45</v>
      </c>
      <c r="O116" s="2" t="n">
        <v>50</v>
      </c>
      <c r="P116" s="2" t="inlineStr">
        <is>
          <t>Fixed Truncation (58 -&gt; 45 chars)</t>
        </is>
      </c>
      <c r="Q116" s="3" t="inlineStr">
        <is>
          <t>Fixed overflow: old was 58/50 chars (truncated in search cards)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RUN_002</t>
        </is>
      </c>
      <c r="B117" s="2" t="inlineStr">
        <is>
          <t>2026-09-21 12:56:31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>
        <f>HYPERLINK("None", "Open MakeMyTrip Listing")</f>
        <v/>
      </c>
      <c r="K117" s="5" t="inlineStr">
        <is>
          <t>StayVista | The Lilly 4 BHK Villa</t>
        </is>
      </c>
      <c r="L117" s="2" t="n">
        <v>33</v>
      </c>
      <c r="M117" s="6" t="inlineStr">
        <is>
          <t>4BHK The Lilly Ooty Villa • Private Pool • Ooty</t>
        </is>
      </c>
      <c r="N117" s="2" t="n">
        <v>47</v>
      </c>
      <c r="O117" s="2" t="n">
        <v>50</v>
      </c>
      <c r="P117" s="2" t="inlineStr">
        <is>
          <t>Within Limit (47/50 chars)</t>
        </is>
      </c>
      <c r="Q117" s="3" t="inlineStr">
        <is>
          <t>Removed non-compliant symbols ('|', '@', '+')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RUN_002</t>
        </is>
      </c>
      <c r="B118" s="2" t="inlineStr">
        <is>
          <t>2026-09-21 12:56:31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>
        <f>HYPERLINK("None", "Open Agoda Listing")</f>
        <v/>
      </c>
      <c r="K118" s="5" t="inlineStr">
        <is>
          <t>StayVista at Cottage in the Clouds</t>
        </is>
      </c>
      <c r="L118" s="2" t="n">
        <v>34</v>
      </c>
      <c r="M118" s="6" t="inlineStr">
        <is>
          <t>3-Bedroom in the Clouds Cottage in Mussoorie</t>
        </is>
      </c>
      <c r="N118" s="2" t="n">
        <v>44</v>
      </c>
      <c r="O118" s="2" t="n">
        <v>50</v>
      </c>
      <c r="P118" s="2" t="inlineStr">
        <is>
          <t>Within Limit (44/50 chars)</t>
        </is>
      </c>
      <c r="Q118" s="3" t="inlineStr">
        <is>
          <t>Standardized structure: Size + Name + USP + Location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RUN_002</t>
        </is>
      </c>
      <c r="B119" s="2" t="inlineStr">
        <is>
          <t>2026-09-21 12:56:31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>
        <f>HYPERLINK("None", "Open Airbnb Listing")</f>
        <v/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Removed redundant brand on Airbnb (prioritizes top USP)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RUN_002</t>
        </is>
      </c>
      <c r="B120" s="2" t="inlineStr">
        <is>
          <t>2026-09-21 12:56:31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>
        <f>HYPERLINK("None", "Open Booking.com Listing")</f>
        <v/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Cottage - 3BHK with Mountain View</t>
        </is>
      </c>
      <c r="N120" s="2" t="n">
        <v>47</v>
      </c>
      <c r="O120" s="2" t="n">
        <v>50</v>
      </c>
      <c r="P120" s="2" t="inlineStr">
        <is>
          <t>Fixed Truncation (66 -&gt; 47 chars)</t>
        </is>
      </c>
      <c r="Q120" s="3" t="inlineStr">
        <is>
          <t>Fixed overflow: old was 66/50 chars (truncated in search cards)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RUN_002</t>
        </is>
      </c>
      <c r="B121" s="2" t="inlineStr">
        <is>
          <t>2026-09-21 12:56:31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>
        <f>HYPERLINK("None", "Open MakeMyTrip Listing")</f>
        <v/>
      </c>
      <c r="K121" s="5" t="inlineStr">
        <is>
          <t>StayVista at Cottage in the Clouds</t>
        </is>
      </c>
      <c r="L121" s="2" t="n">
        <v>34</v>
      </c>
      <c r="M121" s="6" t="inlineStr">
        <is>
          <t>3BHK in the Clouds • Mountain View • Mussoorie</t>
        </is>
      </c>
      <c r="N121" s="2" t="n">
        <v>46</v>
      </c>
      <c r="O121" s="2" t="n">
        <v>50</v>
      </c>
      <c r="P121" s="2" t="inlineStr">
        <is>
          <t>Within Limit (46/50 chars)</t>
        </is>
      </c>
      <c r="Q121" s="3" t="inlineStr">
        <is>
          <t>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RUN_002</t>
        </is>
      </c>
      <c r="B122" s="2" t="inlineStr">
        <is>
          <t>2026-09-21 12:56:31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>
        <f>HYPERLINK("None", "Open Agoda Listing")</f>
        <v/>
      </c>
      <c r="K122" s="5" t="inlineStr">
        <is>
          <t>Villa Sullivan by VEO - Part of StayVista</t>
        </is>
      </c>
      <c r="L122" s="2" t="n">
        <v>41</v>
      </c>
      <c r="M122" s="6" t="inlineStr">
        <is>
          <t>5-Bedroom Sullivan Villa, Ooty w/ Mountain View</t>
        </is>
      </c>
      <c r="N122" s="2" t="n">
        <v>47</v>
      </c>
      <c r="O122" s="2" t="n">
        <v>50</v>
      </c>
      <c r="P122" s="2" t="inlineStr">
        <is>
          <t>Within Limit (47/50 chars)</t>
        </is>
      </c>
      <c r="Q122" s="3" t="inlineStr">
        <is>
          <t>Standardized structure: Size + Name + USP + Location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RUN_002</t>
        </is>
      </c>
      <c r="B123" s="2" t="inlineStr">
        <is>
          <t>2026-09-21 12:56:31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>
        <f>HYPERLINK("None", "Open Airbnb Listing")</f>
        <v/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Removed redundant brand on Airbnb (prioritizes top USP)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RUN_002</t>
        </is>
      </c>
      <c r="B124" s="2" t="inlineStr">
        <is>
          <t>2026-09-21 12:56:31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>
        <f>HYPERLINK("None", "Open Booking.com Listing")</f>
        <v/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Villa - 5BHK with Mountain View</t>
        </is>
      </c>
      <c r="N124" s="2" t="n">
        <v>40</v>
      </c>
      <c r="O124" s="2" t="n">
        <v>50</v>
      </c>
      <c r="P124" s="2" t="inlineStr">
        <is>
          <t>Fixed Truncation (64 -&gt; 40 chars)</t>
        </is>
      </c>
      <c r="Q124" s="3" t="inlineStr">
        <is>
          <t>Fixed overflow: old was 64/50 chars (truncated in search cards)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RUN_002</t>
        </is>
      </c>
      <c r="B125" s="2" t="inlineStr">
        <is>
          <t>2026-09-21 12:56:31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>
        <f>HYPERLINK("None", "Open MakeMyTrip Listing")</f>
        <v/>
      </c>
      <c r="K125" s="5" t="inlineStr">
        <is>
          <t>StayVista | Villa Sullivan</t>
        </is>
      </c>
      <c r="L125" s="2" t="n">
        <v>26</v>
      </c>
      <c r="M125" s="6" t="inlineStr">
        <is>
          <t>5BHK Sullivan Villa • Mountain View • Ooty</t>
        </is>
      </c>
      <c r="N125" s="2" t="n">
        <v>42</v>
      </c>
      <c r="O125" s="2" t="n">
        <v>50</v>
      </c>
      <c r="P125" s="2" t="inlineStr">
        <is>
          <t>Within Limit (42/50 chars)</t>
        </is>
      </c>
      <c r="Q125" s="3" t="inlineStr">
        <is>
          <t>Removed non-compliant symbols ('|', '@', '+');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RUN_002</t>
        </is>
      </c>
      <c r="B126" s="2" t="inlineStr">
        <is>
          <t>2026-09-21 12:56:31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>
        <f>HYPERLINK("None", "Open Agoda Listing")</f>
        <v/>
      </c>
      <c r="K126" s="5" t="inlineStr">
        <is>
          <t>Agastya Villa by VEO - Part of StayVista</t>
        </is>
      </c>
      <c r="L126" s="2" t="n">
        <v>40</v>
      </c>
      <c r="M126" s="6" t="inlineStr">
        <is>
          <t>3-Bedroom Agastya Villa, India w/ Mountain View</t>
        </is>
      </c>
      <c r="N126" s="2" t="n">
        <v>47</v>
      </c>
      <c r="O126" s="2" t="n">
        <v>50</v>
      </c>
      <c r="P126" s="2" t="inlineStr">
        <is>
          <t>Within Limit (47/50 chars)</t>
        </is>
      </c>
      <c r="Q126" s="3" t="inlineStr">
        <is>
          <t>Standardized structure: Size + Name + USP + Location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RUN_002</t>
        </is>
      </c>
      <c r="B127" s="2" t="inlineStr">
        <is>
          <t>2026-09-21 12:56:31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>
        <f>HYPERLINK("None", "Open Airbnb Listing")</f>
        <v/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RUN_002</t>
        </is>
      </c>
      <c r="B128" s="2" t="inlineStr">
        <is>
          <t>2026-09-21 12:56:31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>
        <f>HYPERLINK("None", "Open Booking.com Listing")</f>
        <v/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Villa by StayVista - 3BHK w/ Mountain View</t>
        </is>
      </c>
      <c r="N128" s="2" t="n">
        <v>50</v>
      </c>
      <c r="O128" s="2" t="n">
        <v>50</v>
      </c>
      <c r="P128" s="2" t="inlineStr">
        <is>
          <t>Fixed Truncation (67 -&gt; 50 chars)</t>
        </is>
      </c>
      <c r="Q128" s="3" t="inlineStr">
        <is>
          <t>Fixed overflow: old was 67/50 chars (truncated in search cards)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RUN_002</t>
        </is>
      </c>
      <c r="B129" s="2" t="inlineStr">
        <is>
          <t>2026-09-21 12:56:31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>
        <f>HYPERLINK("None", "Open MakeMyTrip Listing")</f>
        <v/>
      </c>
      <c r="K129" s="5" t="inlineStr">
        <is>
          <t>StayVista | Agastya Villa</t>
        </is>
      </c>
      <c r="L129" s="2" t="n">
        <v>25</v>
      </c>
      <c r="M129" s="6" t="inlineStr">
        <is>
          <t>3BHK Agastya Villa • Mountain View • India</t>
        </is>
      </c>
      <c r="N129" s="2" t="n">
        <v>42</v>
      </c>
      <c r="O129" s="2" t="n">
        <v>50</v>
      </c>
      <c r="P129" s="2" t="inlineStr">
        <is>
          <t>Within Limit (42/50 chars)</t>
        </is>
      </c>
      <c r="Q129" s="3" t="inlineStr">
        <is>
          <t>Removed non-compliant symbols ('|', '@', '+');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RUN_002</t>
        </is>
      </c>
      <c r="B130" s="2" t="inlineStr">
        <is>
          <t>2026-09-21 12:56:31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>
        <f>HYPERLINK("None", "Open Agoda Listing")</f>
        <v/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4-Bedroom Villa in Goa w/ Infinity Pool</t>
        </is>
      </c>
      <c r="N130" s="2" t="n">
        <v>39</v>
      </c>
      <c r="O130" s="2" t="n">
        <v>50</v>
      </c>
      <c r="P130" s="2" t="inlineStr">
        <is>
          <t>Within Limit (39/50 chars)</t>
        </is>
      </c>
      <c r="Q130" s="3" t="inlineStr">
        <is>
          <t>Standardized structure: Size + Name + USP + Location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RUN_002</t>
        </is>
      </c>
      <c r="B131" s="2" t="inlineStr">
        <is>
          <t>2026-09-21 12:56:31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>
        <f>HYPERLINK("None", "Open Airbnb Listing")</f>
        <v/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Removed redundant brand on Airbnb (prioritizes top USP)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RUN_002</t>
        </is>
      </c>
      <c r="B132" s="2" t="inlineStr">
        <is>
          <t>2026-09-21 12:56:31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>
        <f>HYPERLINK("None", "Open Booking.com Listing")</f>
        <v/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Kinara The Luxury Collection by StayVista - 4BHK I</t>
        </is>
      </c>
      <c r="N132" s="2" t="n">
        <v>50</v>
      </c>
      <c r="O132" s="2" t="n">
        <v>50</v>
      </c>
      <c r="P132" s="2" t="inlineStr">
        <is>
          <t>Fixed Truncation (74 -&gt; 50 chars)</t>
        </is>
      </c>
      <c r="Q132" s="3" t="inlineStr">
        <is>
          <t>Fixed overflow: old was 74/50 chars (truncated in search cards)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RUN_002</t>
        </is>
      </c>
      <c r="B133" s="2" t="inlineStr">
        <is>
          <t>2026-09-21 12:56:31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>
        <f>HYPERLINK("None", "Open MakeMyTrip Listing")</f>
        <v/>
      </c>
      <c r="K133" s="5" t="inlineStr">
        <is>
          <t>StayVista | Villa Kinara</t>
        </is>
      </c>
      <c r="L133" s="2" t="n">
        <v>24</v>
      </c>
      <c r="M133" s="6" t="inlineStr">
        <is>
          <t>4BHK Villa • Infinity Pool • Goa</t>
        </is>
      </c>
      <c r="N133" s="2" t="n">
        <v>32</v>
      </c>
      <c r="O133" s="2" t="n">
        <v>50</v>
      </c>
      <c r="P133" s="2" t="inlineStr">
        <is>
          <t>Within Limit (32/50 chars)</t>
        </is>
      </c>
      <c r="Q133" s="3" t="inlineStr">
        <is>
          <t>Removed non-compliant symbols ('|', '@', '+');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RUN_002</t>
        </is>
      </c>
      <c r="B134" s="2" t="inlineStr">
        <is>
          <t>2026-09-21 12:56:31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>
        <f>HYPERLINK("None", "Open Agoda Listing")</f>
        <v/>
      </c>
      <c r="K134" s="5" t="inlineStr">
        <is>
          <t>EL Lodge by StayVista - your perfect getaway</t>
        </is>
      </c>
      <c r="L134" s="2" t="n">
        <v>44</v>
      </c>
      <c r="M134" s="6" t="inlineStr">
        <is>
          <t>3-Bedroom EL Lodge Villa, Lonavala w/ Private Pool</t>
        </is>
      </c>
      <c r="N134" s="2" t="n">
        <v>50</v>
      </c>
      <c r="O134" s="2" t="n">
        <v>50</v>
      </c>
      <c r="P134" s="2" t="inlineStr">
        <is>
          <t>Within Limit (50/50 chars)</t>
        </is>
      </c>
      <c r="Q134" s="3" t="inlineStr">
        <is>
          <t>Standardized structure: Size + Name + USP + Location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RUN_002</t>
        </is>
      </c>
      <c r="B135" s="2" t="inlineStr">
        <is>
          <t>2026-09-21 12:56:31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>
        <f>HYPERLINK("None", "Open Airbnb Listing")</f>
        <v/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Removed redundant brand on Airbnb (prioritizes top USP)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RUN_002</t>
        </is>
      </c>
      <c r="B136" s="2" t="inlineStr">
        <is>
          <t>2026-09-21 12:56:31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>
        <f>HYPERLINK("None", "Open Booking.com Listing")</f>
        <v/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Villa by StayVista - 3BHK w/ Private Pool</t>
        </is>
      </c>
      <c r="N136" s="2" t="n">
        <v>50</v>
      </c>
      <c r="O136" s="2" t="n">
        <v>50</v>
      </c>
      <c r="P136" s="2" t="inlineStr">
        <is>
          <t>Fixed Truncation (75 -&gt; 50 chars)</t>
        </is>
      </c>
      <c r="Q136" s="3" t="inlineStr">
        <is>
          <t>Fixed overflow: old was 75/50 chars (truncated in search cards)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RUN_002</t>
        </is>
      </c>
      <c r="B137" s="2" t="inlineStr">
        <is>
          <t>2026-09-21 12:56:31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>
        <f>HYPERLINK("None", "Open MakeMyTrip Listing")</f>
        <v/>
      </c>
      <c r="K137" s="5" t="inlineStr">
        <is>
          <t>StayVista | EL Lodge 3 BHK Pool Villa</t>
        </is>
      </c>
      <c r="L137" s="2" t="n">
        <v>37</v>
      </c>
      <c r="M137" s="6" t="inlineStr">
        <is>
          <t>3BHK EL Lodge Villa • Private Pool • Lonavala</t>
        </is>
      </c>
      <c r="N137" s="2" t="n">
        <v>45</v>
      </c>
      <c r="O137" s="2" t="n">
        <v>50</v>
      </c>
      <c r="P137" s="2" t="inlineStr">
        <is>
          <t>Within Limit (45/50 chars)</t>
        </is>
      </c>
      <c r="Q137" s="3" t="inlineStr">
        <is>
          <t>Removed non-compliant symbols ('|', '@', '+')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RUN_002</t>
        </is>
      </c>
      <c r="B138" s="2" t="inlineStr">
        <is>
          <t>2026-09-21 12:56:31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>
        <f>HYPERLINK("None", "Open Agoda Listing")</f>
        <v/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5-Bedroom Elevar Villa, Karjat w/ Plunge Pool</t>
        </is>
      </c>
      <c r="N138" s="2" t="n">
        <v>45</v>
      </c>
      <c r="O138" s="2" t="n">
        <v>50</v>
      </c>
      <c r="P138" s="2" t="inlineStr">
        <is>
          <t>Fixed Truncation (88 -&gt; 45 chars)</t>
        </is>
      </c>
      <c r="Q138" s="3" t="inlineStr">
        <is>
          <t>Fixed overflow: old was 88/50 chars (truncated in search cards)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RUN_002</t>
        </is>
      </c>
      <c r="B139" s="2" t="inlineStr">
        <is>
          <t>2026-09-21 12:56:31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>
        <f>HYPERLINK("None", "Open Airbnb Listing")</f>
        <v/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Removed redundant brand on Airbnb (prioritizes top USP)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RUN_002</t>
        </is>
      </c>
      <c r="B140" s="2" t="inlineStr">
        <is>
          <t>2026-09-21 12:56:31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>
        <f>HYPERLINK("None", "Open Booking.com Listing")</f>
        <v/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Villa by StayVista - 5BHK w/ Plunge Pool</t>
        </is>
      </c>
      <c r="N140" s="2" t="n">
        <v>47</v>
      </c>
      <c r="O140" s="2" t="n">
        <v>50</v>
      </c>
      <c r="P140" s="2" t="inlineStr">
        <is>
          <t>Fixed Truncation (70 -&gt; 47 chars)</t>
        </is>
      </c>
      <c r="Q140" s="3" t="inlineStr">
        <is>
          <t>Fixed overflow: old was 70/50 chars (truncated in search cards)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RUN_002</t>
        </is>
      </c>
      <c r="B141" s="2" t="inlineStr">
        <is>
          <t>2026-09-21 12:56:31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>
        <f>HYPERLINK("None", "Open MakeMyTrip Listing")</f>
        <v/>
      </c>
      <c r="K141" s="5" t="inlineStr">
        <is>
          <t>StayVista | Elevar 5 BHK Pool Villa</t>
        </is>
      </c>
      <c r="L141" s="2" t="n">
        <v>35</v>
      </c>
      <c r="M141" s="6" t="inlineStr">
        <is>
          <t>5BHK Elevar Villa • Plunge Pool • Karjat</t>
        </is>
      </c>
      <c r="N141" s="2" t="n">
        <v>40</v>
      </c>
      <c r="O141" s="2" t="n">
        <v>50</v>
      </c>
      <c r="P141" s="2" t="inlineStr">
        <is>
          <t>Within Limit (40/50 chars)</t>
        </is>
      </c>
      <c r="Q141" s="3" t="inlineStr">
        <is>
          <t>Removed non-compliant symbols ('|', '@', '+')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RUN_002</t>
        </is>
      </c>
      <c r="B142" s="2" t="inlineStr">
        <is>
          <t>2026-09-21 12:56:31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>
        <f>HYPERLINK("None", "Open Agoda Listing")</f>
        <v/>
      </c>
      <c r="K142" s="5" t="inlineStr">
        <is>
          <t>StayVista at Maximus Villa</t>
        </is>
      </c>
      <c r="L142" s="2" t="n">
        <v>26</v>
      </c>
      <c r="M142" s="6" t="inlineStr">
        <is>
          <t>6-Bedroom Maximus Villa, Lonavala w/ Pool</t>
        </is>
      </c>
      <c r="N142" s="2" t="n">
        <v>41</v>
      </c>
      <c r="O142" s="2" t="n">
        <v>50</v>
      </c>
      <c r="P142" s="2" t="inlineStr">
        <is>
          <t>Within Limit (41/50 chars)</t>
        </is>
      </c>
      <c r="Q142" s="3" t="inlineStr">
        <is>
          <t>Standardized structure: Size + Name + USP + Location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RUN_002</t>
        </is>
      </c>
      <c r="B143" s="2" t="inlineStr">
        <is>
          <t>2026-09-21 12:56:31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>
        <f>HYPERLINK("None", "Open Airbnb Listing")</f>
        <v/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Standardized structure: Size + Name + USP + Location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RUN_002</t>
        </is>
      </c>
      <c r="B144" s="2" t="inlineStr">
        <is>
          <t>2026-09-21 12:56:31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>
        <f>HYPERLINK("None", "Open Booking.com Listing")</f>
        <v/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Villa by StayVista - 6BHK w/ Pool</t>
        </is>
      </c>
      <c r="N144" s="2" t="n">
        <v>41</v>
      </c>
      <c r="O144" s="2" t="n">
        <v>50</v>
      </c>
      <c r="P144" s="2" t="inlineStr">
        <is>
          <t>Fixed Truncation (62 -&gt; 41 chars)</t>
        </is>
      </c>
      <c r="Q144" s="3" t="inlineStr">
        <is>
          <t>Fixed overflow: old was 62/50 chars (truncated in search cards)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RUN_002</t>
        </is>
      </c>
      <c r="B145" s="2" t="inlineStr">
        <is>
          <t>2026-09-21 12:56:31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>
        <f>HYPERLINK("None", "Open MakeMyTrip Listing")</f>
        <v/>
      </c>
      <c r="K145" s="5" t="inlineStr">
        <is>
          <t>StayVista | Maximus Villa</t>
        </is>
      </c>
      <c r="L145" s="2" t="n">
        <v>25</v>
      </c>
      <c r="M145" s="6" t="inlineStr">
        <is>
          <t>6BHK Maximus Villa • Pool • Lonavala</t>
        </is>
      </c>
      <c r="N145" s="2" t="n">
        <v>36</v>
      </c>
      <c r="O145" s="2" t="n">
        <v>50</v>
      </c>
      <c r="P145" s="2" t="inlineStr">
        <is>
          <t>Within Limit (36/50 chars)</t>
        </is>
      </c>
      <c r="Q145" s="3" t="inlineStr">
        <is>
          <t>Removed non-compliant symbols ('|', '@', '+');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RUN_002</t>
        </is>
      </c>
      <c r="B146" s="2" t="inlineStr">
        <is>
          <t>2026-09-21 12:56:31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>
        <f>HYPERLINK("None", "Open Agoda Listing")</f>
        <v/>
      </c>
      <c r="K146" s="5" t="inlineStr">
        <is>
          <t>StayVista at Nivaant Farms</t>
        </is>
      </c>
      <c r="L146" s="2" t="n">
        <v>26</v>
      </c>
      <c r="M146" s="6" t="inlineStr">
        <is>
          <t>17-Bedroom Nivaant Farms Villa, India w/ Pool</t>
        </is>
      </c>
      <c r="N146" s="2" t="n">
        <v>45</v>
      </c>
      <c r="O146" s="2" t="n">
        <v>50</v>
      </c>
      <c r="P146" s="2" t="inlineStr">
        <is>
          <t>Within Limit (45/50 chars)</t>
        </is>
      </c>
      <c r="Q146" s="3" t="inlineStr">
        <is>
          <t>Standardized structure: Size + Name + USP + Location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RUN_002</t>
        </is>
      </c>
      <c r="B147" s="2" t="inlineStr">
        <is>
          <t>2026-09-21 12:56:31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>
        <f>HYPERLINK("None", "Open Airbnb Listing")</f>
        <v/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Removed redundant brand on Airbnb (prioritizes top USP)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RUN_002</t>
        </is>
      </c>
      <c r="B148" s="2" t="inlineStr">
        <is>
          <t>2026-09-21 12:56:31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>
        <f>HYPERLINK("None", "Open Booking.com Listing")</f>
        <v/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Villa by StayVista - 17BHK w/ Pool</t>
        </is>
      </c>
      <c r="N148" s="2" t="n">
        <v>48</v>
      </c>
      <c r="O148" s="2" t="n">
        <v>50</v>
      </c>
      <c r="P148" s="2" t="inlineStr">
        <is>
          <t>Fixed Truncation (79 -&gt; 48 chars)</t>
        </is>
      </c>
      <c r="Q148" s="3" t="inlineStr">
        <is>
          <t>Fixed overflow: old was 79/50 chars (truncated in search cards)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RUN_002</t>
        </is>
      </c>
      <c r="B149" s="2" t="inlineStr">
        <is>
          <t>2026-09-21 12:56:31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>
        <f>HYPERLINK("None", "Open MakeMyTrip Listing")</f>
        <v/>
      </c>
      <c r="K149" s="5" t="inlineStr">
        <is>
          <t>StayVista at Nivaant Farms</t>
        </is>
      </c>
      <c r="L149" s="2" t="n">
        <v>26</v>
      </c>
      <c r="M149" s="6" t="inlineStr">
        <is>
          <t>17BHK Nivaant Farms Villa • Pool • India</t>
        </is>
      </c>
      <c r="N149" s="2" t="n">
        <v>40</v>
      </c>
      <c r="O149" s="2" t="n">
        <v>50</v>
      </c>
      <c r="P149" s="2" t="inlineStr">
        <is>
          <t>Within Limit (40/50 chars)</t>
        </is>
      </c>
      <c r="Q149" s="3" t="inlineStr">
        <is>
          <t>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RUN_002</t>
        </is>
      </c>
      <c r="B150" s="2" t="inlineStr">
        <is>
          <t>2026-09-21 12:56:31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>
        <f>HYPERLINK("None", "Open Agoda Listing")</f>
        <v/>
      </c>
      <c r="K150" s="5" t="inlineStr">
        <is>
          <t>StayVista at The Verandah</t>
        </is>
      </c>
      <c r="L150" s="2" t="n">
        <v>25</v>
      </c>
      <c r="M150" s="6" t="inlineStr">
        <is>
          <t>5-Bedroom The Verandah Villa in Bhimtal</t>
        </is>
      </c>
      <c r="N150" s="2" t="n">
        <v>39</v>
      </c>
      <c r="O150" s="2" t="n">
        <v>50</v>
      </c>
      <c r="P150" s="2" t="inlineStr">
        <is>
          <t>Within Limit (39/50 chars)</t>
        </is>
      </c>
      <c r="Q150" s="3" t="inlineStr">
        <is>
          <t>Standardized structure: Size + Name + USP + Location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RUN_002</t>
        </is>
      </c>
      <c r="B151" s="2" t="inlineStr">
        <is>
          <t>2026-09-21 12:56:31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>
        <f>HYPERLINK("None", "Open Airbnb Listing")</f>
        <v/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Removed redundant brand on Airbnb (prioritizes top USP)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RUN_002</t>
        </is>
      </c>
      <c r="B152" s="2" t="inlineStr">
        <is>
          <t>2026-09-21 12:56:31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>
        <f>HYPERLINK("None", "Open Booking.com Listing")</f>
        <v/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Villa - 5BHK with Mountain View</t>
        </is>
      </c>
      <c r="N152" s="2" t="n">
        <v>44</v>
      </c>
      <c r="O152" s="2" t="n">
        <v>50</v>
      </c>
      <c r="P152" s="2" t="inlineStr">
        <is>
          <t>Fixed Truncation (61 -&gt; 44 chars)</t>
        </is>
      </c>
      <c r="Q152" s="3" t="inlineStr">
        <is>
          <t>Fixed overflow: old was 61/50 chars (truncated in search cards)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RUN_002</t>
        </is>
      </c>
      <c r="B153" s="2" t="inlineStr">
        <is>
          <t>2026-09-21 12:56:31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>
        <f>HYPERLINK("None", "Open MakeMyTrip Listing")</f>
        <v/>
      </c>
      <c r="K153" s="5" t="inlineStr">
        <is>
          <t>StayVista | The Verandah Villa</t>
        </is>
      </c>
      <c r="L153" s="2" t="n">
        <v>30</v>
      </c>
      <c r="M153" s="6" t="inlineStr">
        <is>
          <t>5BHK The Verandah Villa • Mountain View • Bhimtal</t>
        </is>
      </c>
      <c r="N153" s="2" t="n">
        <v>49</v>
      </c>
      <c r="O153" s="2" t="n">
        <v>50</v>
      </c>
      <c r="P153" s="2" t="inlineStr">
        <is>
          <t>Within Limit (49/50 chars)</t>
        </is>
      </c>
      <c r="Q153" s="3" t="inlineStr">
        <is>
          <t>Removed non-compliant symbols ('|', '@', '+');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RUN_002</t>
        </is>
      </c>
      <c r="B154" s="2" t="inlineStr">
        <is>
          <t>2026-09-21 12:56:31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>
        <f>HYPERLINK("None", "Open Agoda Listing")</f>
        <v/>
      </c>
      <c r="K154" s="5" t="inlineStr">
        <is>
          <t>Casa Do Amor with Pvt Pool by StayVista</t>
        </is>
      </c>
      <c r="L154" s="2" t="n">
        <v>39</v>
      </c>
      <c r="M154" s="6" t="inlineStr">
        <is>
          <t>6-Bedroom Casa Do Amor Villa, Goa w/ Private Pool</t>
        </is>
      </c>
      <c r="N154" s="2" t="n">
        <v>49</v>
      </c>
      <c r="O154" s="2" t="n">
        <v>50</v>
      </c>
      <c r="P154" s="2" t="inlineStr">
        <is>
          <t>Within Limit (49/50 chars)</t>
        </is>
      </c>
      <c r="Q154" s="3" t="inlineStr">
        <is>
          <t>Standardized structure: Size + Name + USP + Location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RUN_002</t>
        </is>
      </c>
      <c r="B155" s="2" t="inlineStr">
        <is>
          <t>2026-09-21 12:56:31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>
        <f>HYPERLINK("None", "Open Airbnb Listing")</f>
        <v/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Removed redundant brand on Airbnb (prioritizes top USP)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RUN_002</t>
        </is>
      </c>
      <c r="B156" s="2" t="inlineStr">
        <is>
          <t>2026-09-21 12:56:31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>
        <f>HYPERLINK("None", "Open Booking.com Listing")</f>
        <v/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Villa - 6BHK with Private Pool</t>
        </is>
      </c>
      <c r="N156" s="2" t="n">
        <v>43</v>
      </c>
      <c r="O156" s="2" t="n">
        <v>50</v>
      </c>
      <c r="P156" s="2" t="inlineStr">
        <is>
          <t>Fixed Truncation (85 -&gt; 43 chars)</t>
        </is>
      </c>
      <c r="Q156" s="3" t="inlineStr">
        <is>
          <t>Fixed overflow: old was 85/50 chars (truncated in search cards)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RUN_002</t>
        </is>
      </c>
      <c r="B157" s="2" t="inlineStr">
        <is>
          <t>2026-09-21 12:56:31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>
        <f>HYPERLINK("None", "Open MakeMyTrip Listing")</f>
        <v/>
      </c>
      <c r="K157" s="5" t="inlineStr">
        <is>
          <t>StayVista at Casa Do Amor</t>
        </is>
      </c>
      <c r="L157" s="2" t="n">
        <v>25</v>
      </c>
      <c r="M157" s="6" t="inlineStr">
        <is>
          <t>6BHK Casa Do Amor Villa • Private Pool • Goa</t>
        </is>
      </c>
      <c r="N157" s="2" t="n">
        <v>44</v>
      </c>
      <c r="O157" s="2" t="n">
        <v>50</v>
      </c>
      <c r="P157" s="2" t="inlineStr">
        <is>
          <t>Within Limit (44/50 chars)</t>
        </is>
      </c>
      <c r="Q157" s="3" t="inlineStr">
        <is>
          <t>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RUN_002</t>
        </is>
      </c>
      <c r="B158" s="2" t="inlineStr">
        <is>
          <t>2026-09-21 12:56:31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>
        <f>HYPERLINK("None", "Open Agoda Listing")</f>
        <v/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4-Bedroom Casa Serenity Villa, Lonavala w/ Pool</t>
        </is>
      </c>
      <c r="N158" s="2" t="n">
        <v>47</v>
      </c>
      <c r="O158" s="2" t="n">
        <v>50</v>
      </c>
      <c r="P158" s="2" t="inlineStr">
        <is>
          <t>Fixed Truncation (74 -&gt; 47 chars)</t>
        </is>
      </c>
      <c r="Q158" s="3" t="inlineStr">
        <is>
          <t>Fixed overflow: old was 74/50 chars (truncated in search cards)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RUN_002</t>
        </is>
      </c>
      <c r="B159" s="2" t="inlineStr">
        <is>
          <t>2026-09-21 12:56:31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>
        <f>HYPERLINK("None", "Open Airbnb Listing")</f>
        <v/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RUN_002</t>
        </is>
      </c>
      <c r="B160" s="2" t="inlineStr">
        <is>
          <t>2026-09-21 12:56:31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>
        <f>HYPERLINK("None", "Open Booking.com Listing")</f>
        <v/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Villa by StayVista - 4BHK w/ Pool</t>
        </is>
      </c>
      <c r="N160" s="2" t="n">
        <v>47</v>
      </c>
      <c r="O160" s="2" t="n">
        <v>50</v>
      </c>
      <c r="P160" s="2" t="inlineStr">
        <is>
          <t>Fixed Truncation (64 -&gt; 47 chars)</t>
        </is>
      </c>
      <c r="Q160" s="3" t="inlineStr">
        <is>
          <t>Fixed overflow: old was 64/50 chars (truncated in search cards)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RUN_002</t>
        </is>
      </c>
      <c r="B161" s="2" t="inlineStr">
        <is>
          <t>2026-09-21 12:56:31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>
        <f>HYPERLINK("None", "Open MakeMyTrip Listing")</f>
        <v/>
      </c>
      <c r="K161" s="5" t="inlineStr">
        <is>
          <t>StayVista | Casa Serenity 4 BHK Villa</t>
        </is>
      </c>
      <c r="L161" s="2" t="n">
        <v>37</v>
      </c>
      <c r="M161" s="6" t="inlineStr">
        <is>
          <t>4BHK Casa Serenity Villa • Pool • Lonavala</t>
        </is>
      </c>
      <c r="N161" s="2" t="n">
        <v>42</v>
      </c>
      <c r="O161" s="2" t="n">
        <v>50</v>
      </c>
      <c r="P161" s="2" t="inlineStr">
        <is>
          <t>Within Limit (42/50 chars)</t>
        </is>
      </c>
      <c r="Q161" s="3" t="inlineStr">
        <is>
          <t>Removed non-compliant symbols ('|', '@', '+')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RUN_002</t>
        </is>
      </c>
      <c r="B162" s="2" t="inlineStr">
        <is>
          <t>2026-09-21 12:56:31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>
        <f>HYPERLINK("None", "Open Agoda Listing")</f>
        <v/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1-Bedroom Serene Nook Villa, Wada w/ Jacuzzi</t>
        </is>
      </c>
      <c r="N162" s="2" t="n">
        <v>44</v>
      </c>
      <c r="O162" s="2" t="n">
        <v>50</v>
      </c>
      <c r="P162" s="2" t="inlineStr">
        <is>
          <t>Fixed Truncation (67 -&gt; 44 chars)</t>
        </is>
      </c>
      <c r="Q162" s="3" t="inlineStr">
        <is>
          <t>Fixed overflow: old was 67/50 chars (truncated in search cards)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RUN_002</t>
        </is>
      </c>
      <c r="B163" s="2" t="inlineStr">
        <is>
          <t>2026-09-21 12:56:31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>
        <f>HYPERLINK("None", "Open Airbnb Listing")</f>
        <v/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Removed redundant brand on Airbnb (prioritizes top USP)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RUN_002</t>
        </is>
      </c>
      <c r="B164" s="2" t="inlineStr">
        <is>
          <t>2026-09-21 12:56:31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>
        <f>HYPERLINK("None", "Open Booking.com Listing")</f>
        <v/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Villa by StayVista - 1BHK w/ Jacuzzi</t>
        </is>
      </c>
      <c r="N164" s="2" t="n">
        <v>48</v>
      </c>
      <c r="O164" s="2" t="n">
        <v>50</v>
      </c>
      <c r="P164" s="2" t="inlineStr">
        <is>
          <t>Fixed Truncation (75 -&gt; 48 chars)</t>
        </is>
      </c>
      <c r="Q164" s="3" t="inlineStr">
        <is>
          <t>Fixed overflow: old was 75/50 chars (truncated in search cards)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RUN_002</t>
        </is>
      </c>
      <c r="B165" s="2" t="inlineStr">
        <is>
          <t>2026-09-21 12:56:31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>
        <f>HYPERLINK("None", "Open MakeMyTrip Listing")</f>
        <v/>
      </c>
      <c r="K165" s="5" t="inlineStr">
        <is>
          <t>StayVista | Serene Nook 1 BHK Villa</t>
        </is>
      </c>
      <c r="L165" s="2" t="n">
        <v>35</v>
      </c>
      <c r="M165" s="6" t="inlineStr">
        <is>
          <t>1BHK Serene Nook Villa • Jacuzzi • Wada</t>
        </is>
      </c>
      <c r="N165" s="2" t="n">
        <v>39</v>
      </c>
      <c r="O165" s="2" t="n">
        <v>50</v>
      </c>
      <c r="P165" s="2" t="inlineStr">
        <is>
          <t>Within Limit (39/50 chars)</t>
        </is>
      </c>
      <c r="Q165" s="3" t="inlineStr">
        <is>
          <t>Removed non-compliant symbols ('|', '@', '+')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RUN_002</t>
        </is>
      </c>
      <c r="B166" s="2" t="inlineStr">
        <is>
          <t>2026-09-21 12:56:31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>
        <f>HYPERLINK("None", "Open Agoda Listing")</f>
        <v/>
      </c>
      <c r="K166" s="5" t="inlineStr">
        <is>
          <t>StayVista at Misty Mountains Cottage</t>
        </is>
      </c>
      <c r="L166" s="2" t="n">
        <v>36</v>
      </c>
      <c r="M166" s="6" t="inlineStr">
        <is>
          <t>2-Bedroom Misty Mountains Villa, Kasauli w/ Pool</t>
        </is>
      </c>
      <c r="N166" s="2" t="n">
        <v>48</v>
      </c>
      <c r="O166" s="2" t="n">
        <v>50</v>
      </c>
      <c r="P166" s="2" t="inlineStr">
        <is>
          <t>Within Limit (48/50 chars)</t>
        </is>
      </c>
      <c r="Q166" s="3" t="inlineStr">
        <is>
          <t>Standardized structure: Size + Name + USP + Location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RUN_002</t>
        </is>
      </c>
      <c r="B167" s="2" t="inlineStr">
        <is>
          <t>2026-09-21 12:56:31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>
        <f>HYPERLINK("None", "Open Airbnb Listing")</f>
        <v/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Removed redundant brand on Airbnb (prioritizes top USP)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RUN_002</t>
        </is>
      </c>
      <c r="B168" s="2" t="inlineStr">
        <is>
          <t>2026-09-21 12:56:31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>
        <f>HYPERLINK("None", "Open Booking.com Listing")</f>
        <v/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Villa by StayVista - 2BHK w/ Pool</t>
        </is>
      </c>
      <c r="N168" s="2" t="n">
        <v>49</v>
      </c>
      <c r="O168" s="2" t="n">
        <v>50</v>
      </c>
      <c r="P168" s="2" t="inlineStr">
        <is>
          <t>Fixed Truncation (74 -&gt; 49 chars)</t>
        </is>
      </c>
      <c r="Q168" s="3" t="inlineStr">
        <is>
          <t>Fixed overflow: old was 74/50 chars (truncated in search cards)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RUN_002</t>
        </is>
      </c>
      <c r="B169" s="2" t="inlineStr">
        <is>
          <t>2026-09-21 12:56:31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>
        <f>HYPERLINK("None", "Open MakeMyTrip Listing")</f>
        <v/>
      </c>
      <c r="K169" s="5" t="inlineStr">
        <is>
          <t>StayVista | Misty Mountains 2 BHK Cottage</t>
        </is>
      </c>
      <c r="L169" s="2" t="n">
        <v>41</v>
      </c>
      <c r="M169" s="6" t="inlineStr">
        <is>
          <t>2BHK Misty Mountains Villa • Pool • Kasauli</t>
        </is>
      </c>
      <c r="N169" s="2" t="n">
        <v>43</v>
      </c>
      <c r="O169" s="2" t="n">
        <v>50</v>
      </c>
      <c r="P169" s="2" t="inlineStr">
        <is>
          <t>Within Limit (43/50 chars)</t>
        </is>
      </c>
      <c r="Q169" s="3" t="inlineStr">
        <is>
          <t>Removed non-compliant symbols ('|', '@', '+')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RUN_002</t>
        </is>
      </c>
      <c r="B170" s="2" t="inlineStr">
        <is>
          <t>2026-09-21 12:56:31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>
        <f>HYPERLINK("None", "Open Agoda Listing")</f>
        <v/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2-Bedroom Lake Trails Villa in Nainital</t>
        </is>
      </c>
      <c r="N170" s="2" t="n">
        <v>39</v>
      </c>
      <c r="O170" s="2" t="n">
        <v>50</v>
      </c>
      <c r="P170" s="2" t="inlineStr">
        <is>
          <t>Fixed Truncation (51 -&gt; 39 chars)</t>
        </is>
      </c>
      <c r="Q170" s="3" t="inlineStr">
        <is>
          <t>Fixed overflow: old was 51/50 chars (truncated in search cards)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RUN_002</t>
        </is>
      </c>
      <c r="B171" s="2" t="inlineStr">
        <is>
          <t>2026-09-21 12:56:31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>
        <f>HYPERLINK("None", "Open Airbnb Listing")</f>
        <v/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RUN_002</t>
        </is>
      </c>
      <c r="B172" s="2" t="inlineStr">
        <is>
          <t>2026-09-21 12:56:31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>
        <f>HYPERLINK("None", "Open Booking.com Listing")</f>
        <v/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Villa - 2BHK with Valley View</t>
        </is>
      </c>
      <c r="N172" s="2" t="n">
        <v>41</v>
      </c>
      <c r="O172" s="2" t="n">
        <v>50</v>
      </c>
      <c r="P172" s="2" t="inlineStr">
        <is>
          <t>Fixed Truncation (78 -&gt; 41 chars)</t>
        </is>
      </c>
      <c r="Q172" s="3" t="inlineStr">
        <is>
          <t>Fixed overflow: old was 78/50 chars (truncated in search cards)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RUN_002</t>
        </is>
      </c>
      <c r="B173" s="2" t="inlineStr">
        <is>
          <t>2026-09-21 12:56:31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>
        <f>HYPERLINK("None", "Open MakeMyTrip Listing")</f>
        <v/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2BHK Lake Trails Villa • Valley View • Nainital</t>
        </is>
      </c>
      <c r="N173" s="2" t="n">
        <v>47</v>
      </c>
      <c r="O173" s="2" t="n">
        <v>50</v>
      </c>
      <c r="P173" s="2" t="inlineStr">
        <is>
          <t>Fixed Truncation (53 -&gt; 47 chars)</t>
        </is>
      </c>
      <c r="Q173" s="3" t="inlineStr">
        <is>
          <t>Fixed overflow: old was 53/50 chars (truncated in search cards);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RUN_002</t>
        </is>
      </c>
      <c r="B174" s="2" t="inlineStr">
        <is>
          <t>2026-09-21 12:56:31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>
        <f>HYPERLINK("None", "Open Agoda Listing")</f>
        <v/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3-Bedroom Woodside Meadows by VEO Villa in Shimla</t>
        </is>
      </c>
      <c r="N174" s="2" t="n">
        <v>49</v>
      </c>
      <c r="O174" s="2" t="n">
        <v>50</v>
      </c>
      <c r="P174" s="2" t="inlineStr">
        <is>
          <t>Within Limit (49/50 chars)</t>
        </is>
      </c>
      <c r="Q174" s="3" t="inlineStr">
        <is>
          <t>Standardized structure: Size + Name + USP + Location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RUN_002</t>
        </is>
      </c>
      <c r="B175" s="2" t="inlineStr">
        <is>
          <t>2026-09-21 12:56:31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>
        <f>HYPERLINK("None", "Open Airbnb Listing")</f>
        <v/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RUN_002</t>
        </is>
      </c>
      <c r="B176" s="2" t="inlineStr">
        <is>
          <t>2026-09-21 12:56:31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>
        <f>HYPERLINK("None", "Open Booking.com Listing")</f>
        <v/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Woodside Meadows by VEO Villa - 3BHK with Jacuzzi</t>
        </is>
      </c>
      <c r="N176" s="2" t="n">
        <v>49</v>
      </c>
      <c r="O176" s="2" t="n">
        <v>50</v>
      </c>
      <c r="P176" s="2" t="inlineStr">
        <is>
          <t>Fixed Truncation (67 -&gt; 49 chars)</t>
        </is>
      </c>
      <c r="Q176" s="3" t="inlineStr">
        <is>
          <t>Fixed overflow: old was 67/50 chars (truncated in search cards)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RUN_002</t>
        </is>
      </c>
      <c r="B177" s="2" t="inlineStr">
        <is>
          <t>2026-09-21 12:56:31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>
        <f>HYPERLINK("None", "Open MakeMyTrip Listing")</f>
        <v/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3BHK Woodside Meadows by VEO • Jacuzzi • Shimla</t>
        </is>
      </c>
      <c r="N177" s="2" t="n">
        <v>47</v>
      </c>
      <c r="O177" s="2" t="n">
        <v>50</v>
      </c>
      <c r="P177" s="2" t="inlineStr">
        <is>
          <t>Within Limit (47/50 chars)</t>
        </is>
      </c>
      <c r="Q177" s="3" t="inlineStr">
        <is>
          <t>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RUN_002</t>
        </is>
      </c>
      <c r="B178" s="2" t="inlineStr">
        <is>
          <t>2026-09-21 12:56:31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>
        <f>HYPERLINK("None", "Open Agoda Listing")</f>
        <v/>
      </c>
      <c r="K178" s="5" t="inlineStr">
        <is>
          <t>Davey's Townhouse by VEO - Part of StayVista</t>
        </is>
      </c>
      <c r="L178" s="2" t="n">
        <v>44</v>
      </c>
      <c r="M178" s="6" t="inlineStr">
        <is>
          <t>3-Bedroom Davey's Townhouse by VEO Villa in India</t>
        </is>
      </c>
      <c r="N178" s="2" t="n">
        <v>49</v>
      </c>
      <c r="O178" s="2" t="n">
        <v>50</v>
      </c>
      <c r="P178" s="2" t="inlineStr">
        <is>
          <t>Within Limit (49/50 chars)</t>
        </is>
      </c>
      <c r="Q178" s="3" t="inlineStr">
        <is>
          <t>Standardized structure: Size + Name + USP + Location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RUN_002</t>
        </is>
      </c>
      <c r="B179" s="2" t="inlineStr">
        <is>
          <t>2026-09-21 12:56:31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>
        <f>HYPERLINK("None", "Open Airbnb Listing")</f>
        <v/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Removed redundant brand on Airbnb (prioritizes top USP)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RUN_002</t>
        </is>
      </c>
      <c r="B180" s="2" t="inlineStr">
        <is>
          <t>2026-09-21 12:56:31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>
        <f>HYPERLINK("None", "Open Booking.com Listing")</f>
        <v/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Davey's Townhouse by VEO by StayVista - 3BHK Priva</t>
        </is>
      </c>
      <c r="N180" s="2" t="n">
        <v>50</v>
      </c>
      <c r="O180" s="2" t="n">
        <v>50</v>
      </c>
      <c r="P180" s="2" t="inlineStr">
        <is>
          <t>Fixed Truncation (77 -&gt; 50 chars)</t>
        </is>
      </c>
      <c r="Q180" s="3" t="inlineStr">
        <is>
          <t>Fixed overflow: old was 77/50 chars (truncated in search cards)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RUN_002</t>
        </is>
      </c>
      <c r="B181" s="2" t="inlineStr">
        <is>
          <t>2026-09-21 12:56:31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>
        <f>HYPERLINK("None", "Open MakeMyTrip Listing")</f>
        <v/>
      </c>
      <c r="K181" s="5" t="inlineStr">
        <is>
          <t>Davey's Townhouse by VEO - Part of StayVista</t>
        </is>
      </c>
      <c r="L181" s="2" t="n">
        <v>44</v>
      </c>
      <c r="M181" s="6" t="inlineStr">
        <is>
          <t>3BHK Villa • Private Pool • India</t>
        </is>
      </c>
      <c r="N181" s="2" t="n">
        <v>33</v>
      </c>
      <c r="O181" s="2" t="n">
        <v>50</v>
      </c>
      <c r="P181" s="2" t="inlineStr">
        <is>
          <t>Within Limit (33/50 chars)</t>
        </is>
      </c>
      <c r="Q181" s="3" t="inlineStr">
        <is>
          <t>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RUN_002</t>
        </is>
      </c>
      <c r="B182" s="2" t="inlineStr">
        <is>
          <t>2026-09-21 12:56:31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>
        <f>HYPERLINK("None", "Open Agoda Listing")</f>
        <v/>
      </c>
      <c r="K182" s="5" t="inlineStr">
        <is>
          <t>StayVista at Destine Cottage</t>
        </is>
      </c>
      <c r="L182" s="2" t="n">
        <v>28</v>
      </c>
      <c r="M182" s="6" t="inlineStr">
        <is>
          <t>2-Bedroom Destine Cottage in Kasauli</t>
        </is>
      </c>
      <c r="N182" s="2" t="n">
        <v>36</v>
      </c>
      <c r="O182" s="2" t="n">
        <v>50</v>
      </c>
      <c r="P182" s="2" t="inlineStr">
        <is>
          <t>Within Limit (36/50 chars)</t>
        </is>
      </c>
      <c r="Q182" s="3" t="inlineStr">
        <is>
          <t>Standardized structure: Size + Name + USP + Location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RUN_002</t>
        </is>
      </c>
      <c r="B183" s="2" t="inlineStr">
        <is>
          <t>2026-09-21 12:56:31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>
        <f>HYPERLINK("None", "Open Airbnb Listing")</f>
        <v/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Removed redundant brand on Airbnb (prioritizes top USP)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RUN_002</t>
        </is>
      </c>
      <c r="B184" s="2" t="inlineStr">
        <is>
          <t>2026-09-21 12:56:31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>
        <f>HYPERLINK("None", "Open Booking.com Listing")</f>
        <v/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Cottage - 2BHK with Mountain View</t>
        </is>
      </c>
      <c r="N184" s="2" t="n">
        <v>41</v>
      </c>
      <c r="O184" s="2" t="n">
        <v>50</v>
      </c>
      <c r="P184" s="2" t="inlineStr">
        <is>
          <t>Fixed Truncation (63 -&gt; 41 chars)</t>
        </is>
      </c>
      <c r="Q184" s="3" t="inlineStr">
        <is>
          <t>Fixed overflow: old was 63/50 chars (truncated in search cards)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RUN_002</t>
        </is>
      </c>
      <c r="B185" s="2" t="inlineStr">
        <is>
          <t>2026-09-21 12:56:31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>
        <f>HYPERLINK("None", "Open MakeMyTrip Listing")</f>
        <v/>
      </c>
      <c r="K185" s="5" t="inlineStr">
        <is>
          <t>StayVista at Destine Cottage</t>
        </is>
      </c>
      <c r="L185" s="2" t="n">
        <v>28</v>
      </c>
      <c r="M185" s="6" t="inlineStr">
        <is>
          <t>2BHK Destine Cottage • Mountain View • Kasauli</t>
        </is>
      </c>
      <c r="N185" s="2" t="n">
        <v>46</v>
      </c>
      <c r="O185" s="2" t="n">
        <v>50</v>
      </c>
      <c r="P185" s="2" t="inlineStr">
        <is>
          <t>Within Limit (46/50 chars)</t>
        </is>
      </c>
      <c r="Q185" s="3" t="inlineStr">
        <is>
          <t>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RUN_002</t>
        </is>
      </c>
      <c r="B186" s="2" t="inlineStr">
        <is>
          <t>2026-09-21 12:56:31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>
        <f>HYPERLINK("None", "Open Agoda Listing")</f>
        <v/>
      </c>
      <c r="K186" s="5" t="inlineStr">
        <is>
          <t>StayVista at Solitude in the Woods</t>
        </is>
      </c>
      <c r="L186" s="2" t="n">
        <v>34</v>
      </c>
      <c r="M186" s="6" t="inlineStr">
        <is>
          <t>4-Bedroom Solitude in the Woods Villa in India</t>
        </is>
      </c>
      <c r="N186" s="2" t="n">
        <v>46</v>
      </c>
      <c r="O186" s="2" t="n">
        <v>50</v>
      </c>
      <c r="P186" s="2" t="inlineStr">
        <is>
          <t>Within Limit (46/50 chars)</t>
        </is>
      </c>
      <c r="Q186" s="3" t="inlineStr">
        <is>
          <t>Standardized structure: Size + Name + USP + Location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RUN_002</t>
        </is>
      </c>
      <c r="B187" s="2" t="inlineStr">
        <is>
          <t>2026-09-21 12:56:31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>
        <f>HYPERLINK("None", "Open Airbnb Listing")</f>
        <v/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RUN_002</t>
        </is>
      </c>
      <c r="B188" s="2" t="inlineStr">
        <is>
          <t>2026-09-21 12:56:31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>
        <f>HYPERLINK("None", "Open Booking.com Listing")</f>
        <v/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Villa - 4BHK with Pool</t>
        </is>
      </c>
      <c r="N188" s="2" t="n">
        <v>44</v>
      </c>
      <c r="O188" s="2" t="n">
        <v>50</v>
      </c>
      <c r="P188" s="2" t="inlineStr">
        <is>
          <t>Fixed Truncation (59 -&gt; 44 chars)</t>
        </is>
      </c>
      <c r="Q188" s="3" t="inlineStr">
        <is>
          <t>Fixed overflow: old was 59/50 chars (truncated in search cards)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RUN_002</t>
        </is>
      </c>
      <c r="B189" s="2" t="inlineStr">
        <is>
          <t>2026-09-21 12:56:31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>
        <f>HYPERLINK("None", "Open MakeMyTrip Listing")</f>
        <v/>
      </c>
      <c r="K189" s="5" t="inlineStr">
        <is>
          <t>StayVista I Solitude in the Woods 2 BHK Villa</t>
        </is>
      </c>
      <c r="L189" s="2" t="n">
        <v>45</v>
      </c>
      <c r="M189" s="6" t="inlineStr">
        <is>
          <t>4BHK Solitude in the Woods Villa • Pool • India</t>
        </is>
      </c>
      <c r="N189" s="2" t="n">
        <v>47</v>
      </c>
      <c r="O189" s="2" t="n">
        <v>50</v>
      </c>
      <c r="P189" s="2" t="inlineStr">
        <is>
          <t>Within Limit (47/50 chars)</t>
        </is>
      </c>
      <c r="Q189" s="3" t="inlineStr">
        <is>
          <t>Standardized structure: Size + Name + USP + Location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RUN_002</t>
        </is>
      </c>
      <c r="B190" s="2" t="inlineStr">
        <is>
          <t>2026-09-21 12:56:31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>
        <f>HYPERLINK("None", "Open Agoda Listing")</f>
        <v/>
      </c>
      <c r="K190" s="5" t="inlineStr">
        <is>
          <t>StayVista at Novera The Lake Villa</t>
        </is>
      </c>
      <c r="L190" s="2" t="n">
        <v>34</v>
      </c>
      <c r="M190" s="6" t="inlineStr">
        <is>
          <t>3-Bedroom Novera The Lake Villa, Wayanad w/ Gazebo</t>
        </is>
      </c>
      <c r="N190" s="2" t="n">
        <v>50</v>
      </c>
      <c r="O190" s="2" t="n">
        <v>50</v>
      </c>
      <c r="P190" s="2" t="inlineStr">
        <is>
          <t>Within Limit (50/50 chars)</t>
        </is>
      </c>
      <c r="Q190" s="3" t="inlineStr">
        <is>
          <t>Standardized structure: Size + Name + USP + Location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RUN_002</t>
        </is>
      </c>
      <c r="B191" s="2" t="inlineStr">
        <is>
          <t>2026-09-21 12:56:31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>
        <f>HYPERLINK("None", "Open Airbnb Listing")</f>
        <v/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RUN_002</t>
        </is>
      </c>
      <c r="B192" s="2" t="inlineStr">
        <is>
          <t>2026-09-21 12:56:31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>
        <f>HYPERLINK("None", "Open Booking.com Listing")</f>
        <v/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Villa - 3BHK with Gazebo</t>
        </is>
      </c>
      <c r="N192" s="2" t="n">
        <v>40</v>
      </c>
      <c r="O192" s="2" t="n">
        <v>50</v>
      </c>
      <c r="P192" s="2" t="inlineStr">
        <is>
          <t>Fixed Truncation (53 -&gt; 40 chars)</t>
        </is>
      </c>
      <c r="Q192" s="3" t="inlineStr">
        <is>
          <t>Fixed overflow: old was 53/50 chars (truncated in search cards)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RUN_002</t>
        </is>
      </c>
      <c r="B193" s="2" t="inlineStr">
        <is>
          <t>2026-09-21 12:56:31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>
        <f>HYPERLINK("None", "Open MakeMyTrip Listing")</f>
        <v/>
      </c>
      <c r="K193" s="5" t="inlineStr">
        <is>
          <t>StayVista | Novera Villa</t>
        </is>
      </c>
      <c r="L193" s="2" t="n">
        <v>24</v>
      </c>
      <c r="M193" s="6" t="inlineStr">
        <is>
          <t>3BHK Novera The Lake Villa • Gazebo • Wayanad</t>
        </is>
      </c>
      <c r="N193" s="2" t="n">
        <v>45</v>
      </c>
      <c r="O193" s="2" t="n">
        <v>50</v>
      </c>
      <c r="P193" s="2" t="inlineStr">
        <is>
          <t>Within Limit (45/50 chars)</t>
        </is>
      </c>
      <c r="Q193" s="3" t="inlineStr">
        <is>
          <t>Removed non-compliant symbols ('|', '@', '+');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RUN_002</t>
        </is>
      </c>
      <c r="B194" s="2" t="inlineStr">
        <is>
          <t>2026-09-21 12:56:31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>
        <f>HYPERLINK("None", "Open Agoda Listing")</f>
        <v/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3-Bedroom Escape Villa, India w/ Mountain View</t>
        </is>
      </c>
      <c r="N194" s="2" t="n">
        <v>46</v>
      </c>
      <c r="O194" s="2" t="n">
        <v>50</v>
      </c>
      <c r="P194" s="2" t="inlineStr">
        <is>
          <t>Fixed Truncation (99 -&gt; 46 chars)</t>
        </is>
      </c>
      <c r="Q194" s="3" t="inlineStr">
        <is>
          <t>Fixed overflow: old was 99/50 chars (truncated in search cards)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RUN_002</t>
        </is>
      </c>
      <c r="B195" s="2" t="inlineStr">
        <is>
          <t>2026-09-21 12:56:31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>
        <f>HYPERLINK("None", "Open Airbnb Listing")</f>
        <v/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Removed redundant brand on Airbnb (prioritizes top USP)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RUN_002</t>
        </is>
      </c>
      <c r="B196" s="2" t="inlineStr">
        <is>
          <t>2026-09-21 12:56:31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>
        <f>HYPERLINK("None", "Open Booking.com Listing")</f>
        <v/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Villa by StayVista - 3BHK w/ Mountain View</t>
        </is>
      </c>
      <c r="N196" s="2" t="n">
        <v>49</v>
      </c>
      <c r="O196" s="2" t="n">
        <v>50</v>
      </c>
      <c r="P196" s="2" t="inlineStr">
        <is>
          <t>Fixed Truncation (101 -&gt; 49 chars)</t>
        </is>
      </c>
      <c r="Q196" s="3" t="inlineStr">
        <is>
          <t>Fixed overflow: old was 101/50 chars (truncated in search cards)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RUN_002</t>
        </is>
      </c>
      <c r="B197" s="2" t="inlineStr">
        <is>
          <t>2026-09-21 12:56:31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>
        <f>HYPERLINK("None", "Open MakeMyTrip Listing")</f>
        <v/>
      </c>
      <c r="K197" s="5" t="inlineStr">
        <is>
          <t>StayVista | La Ipsing Farm 3 BHK Villa</t>
        </is>
      </c>
      <c r="L197" s="2" t="n">
        <v>38</v>
      </c>
      <c r="M197" s="6" t="inlineStr">
        <is>
          <t>3BHK Escape Villa • Mountain View • India</t>
        </is>
      </c>
      <c r="N197" s="2" t="n">
        <v>41</v>
      </c>
      <c r="O197" s="2" t="n">
        <v>50</v>
      </c>
      <c r="P197" s="2" t="inlineStr">
        <is>
          <t>Within Limit (41/50 chars)</t>
        </is>
      </c>
      <c r="Q197" s="3" t="inlineStr">
        <is>
          <t>Removed non-compliant symbols ('|', '@', '+')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RUN_002</t>
        </is>
      </c>
      <c r="B198" s="2" t="inlineStr">
        <is>
          <t>2026-09-21 12:56:31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>
        <f>HYPERLINK("None", "Open Agoda Listing")</f>
        <v/>
      </c>
      <c r="K198" s="5" t="inlineStr">
        <is>
          <t>StayVista at PleasantVille with Huge Lawn Area</t>
        </is>
      </c>
      <c r="L198" s="2" t="n">
        <v>46</v>
      </c>
      <c r="M198" s="6" t="inlineStr">
        <is>
          <t>4-Bedroom PleasantVille Villa, India w/ Lawn</t>
        </is>
      </c>
      <c r="N198" s="2" t="n">
        <v>44</v>
      </c>
      <c r="O198" s="2" t="n">
        <v>50</v>
      </c>
      <c r="P198" s="2" t="inlineStr">
        <is>
          <t>Within Limit (44/50 chars)</t>
        </is>
      </c>
      <c r="Q198" s="3" t="inlineStr">
        <is>
          <t>Standardized structure: Size + Name + USP + Location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RUN_002</t>
        </is>
      </c>
      <c r="B199" s="2" t="inlineStr">
        <is>
          <t>2026-09-21 12:56:31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>
        <f>HYPERLINK("None", "Open Airbnb Listing")</f>
        <v/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Removed redundant brand on Airbnb (prioritizes top USP)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RUN_002</t>
        </is>
      </c>
      <c r="B200" s="2" t="inlineStr">
        <is>
          <t>2026-09-21 12:56:31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>
        <f>HYPERLINK("None", "Open Booking.com Listing")</f>
        <v/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Villa by StayVista - 4BHK w/ Lawn</t>
        </is>
      </c>
      <c r="N200" s="2" t="n">
        <v>47</v>
      </c>
      <c r="O200" s="2" t="n">
        <v>50</v>
      </c>
      <c r="P200" s="2" t="inlineStr">
        <is>
          <t>Fixed Truncation (84 -&gt; 47 chars)</t>
        </is>
      </c>
      <c r="Q200" s="3" t="inlineStr">
        <is>
          <t>Fixed overflow: old was 84/50 chars (truncated in search cards)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RUN_002</t>
        </is>
      </c>
      <c r="B201" s="2" t="inlineStr">
        <is>
          <t>2026-09-21 12:56:31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>
        <f>HYPERLINK("None", "Open MakeMyTrip Listing")</f>
        <v/>
      </c>
      <c r="K201" s="5" t="inlineStr">
        <is>
          <t>StayVista | PleasantVille 4 BHK Villa</t>
        </is>
      </c>
      <c r="L201" s="2" t="n">
        <v>37</v>
      </c>
      <c r="M201" s="6" t="inlineStr">
        <is>
          <t>4BHK PleasantVille Villa • Lawn • India</t>
        </is>
      </c>
      <c r="N201" s="2" t="n">
        <v>39</v>
      </c>
      <c r="O201" s="2" t="n">
        <v>50</v>
      </c>
      <c r="P201" s="2" t="inlineStr">
        <is>
          <t>Within Limit (39/50 chars)</t>
        </is>
      </c>
      <c r="Q201" s="3" t="inlineStr">
        <is>
          <t>Removed non-compliant symbols ('|', '@', '+')</t>
        </is>
      </c>
      <c r="R201" s="7" t="inlineStr">
        <is>
          <t>Pending Backend Sync</t>
        </is>
      </c>
      <c r="S2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2026-09-21T07:26:31Z</dcterms:created>
  <dcterms:modified xsi:type="dcterms:W3CDTF">2026-09-21T07:26:31Z</dcterms:modified>
</cp:coreProperties>
</file>